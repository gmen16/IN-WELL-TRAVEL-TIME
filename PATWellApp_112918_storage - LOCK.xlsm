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LOWFLOWPROGRAM\VERSION_7\SEP18_REVISIONS\"/>
    </mc:Choice>
  </mc:AlternateContent>
  <xr:revisionPtr revIDLastSave="0" documentId="13_ncr:1_{1B44CFFC-2C16-4A91-931A-29A597908C68}" xr6:coauthVersionLast="36" xr6:coauthVersionMax="36" xr10:uidLastSave="{00000000-0000-0000-0000-000000000000}"/>
  <bookViews>
    <workbookView xWindow="0" yWindow="0" windowWidth="23040" windowHeight="11688" activeTab="3" xr2:uid="{00000000-000D-0000-FFFF-FFFF00000000}"/>
  </bookViews>
  <sheets>
    <sheet name="Instructions for Input" sheetId="6" r:id="rId1"/>
    <sheet name="Input" sheetId="2" r:id="rId2"/>
    <sheet name="K-Distribution" sheetId="3" state="hidden" r:id="rId3"/>
    <sheet name="Output" sheetId="4" r:id="rId4"/>
    <sheet name="Output K-Dist" sheetId="5" state="hidden" r:id="rId5"/>
  </sheets>
  <functionGroups builtInGroupCount="19"/>
  <definedNames>
    <definedName name="P_rate">Input!$K$12</definedName>
    <definedName name="solver_adj" localSheetId="1" hidden="1">Input!$B$14</definedName>
    <definedName name="solver_adj" localSheetId="2" hidden="1">'K-Distribution'!$B$3,'K-Distribution'!$C$2</definedName>
    <definedName name="solver_adj" localSheetId="3" hidden="1">Output!$B$16,Output!$B$17</definedName>
    <definedName name="solver_cvg" localSheetId="1" hidden="1">0.0001</definedName>
    <definedName name="solver_cvg" localSheetId="2" hidden="1">0.0001</definedName>
    <definedName name="solver_drv" localSheetId="1" hidden="1">1</definedName>
    <definedName name="solver_drv" localSheetId="2" hidden="1">1</definedName>
    <definedName name="solver_eng" localSheetId="1" hidden="1">1</definedName>
    <definedName name="solver_eng" localSheetId="2" hidden="1">1</definedName>
    <definedName name="solver_eng" localSheetId="3" hidden="1">1</definedName>
    <definedName name="solver_est" localSheetId="1" hidden="1">1</definedName>
    <definedName name="solver_est" localSheetId="2" hidden="1">1</definedName>
    <definedName name="solver_itr" localSheetId="1" hidden="1">100</definedName>
    <definedName name="solver_itr" localSheetId="2" hidden="1">100</definedName>
    <definedName name="solver_lhs1" localSheetId="1" hidden="1">Input!$B$14</definedName>
    <definedName name="solver_lhs1" localSheetId="2" hidden="1">'K-Distribution'!$B$3</definedName>
    <definedName name="solver_lhs1" localSheetId="3" hidden="1">Output!$B$16</definedName>
    <definedName name="solver_lhs2" localSheetId="1" hidden="1">Input!$K$12</definedName>
    <definedName name="solver_lhs2" localSheetId="2" hidden="1">'K-Distribution'!$B$3</definedName>
    <definedName name="solver_lhs2" localSheetId="3" hidden="1">Output!$B$17</definedName>
    <definedName name="solver_lhs3" localSheetId="1" hidden="1">Input!$K$12</definedName>
    <definedName name="solver_lhs3" localSheetId="2" hidden="1">'K-Distribution'!$C$2</definedName>
    <definedName name="solver_lhs3" localSheetId="3" hidden="1">Output!#REF!</definedName>
    <definedName name="solver_lhs4" localSheetId="1" hidden="1">Input!$K$12</definedName>
    <definedName name="solver_lhs4" localSheetId="2" hidden="1">'K-Distribution'!$C$2</definedName>
    <definedName name="solver_lhs5" localSheetId="1" hidden="1">Input!$K$12</definedName>
    <definedName name="solver_lhs5" localSheetId="2" hidden="1">'K-Distribution'!$C$3</definedName>
    <definedName name="solver_lin" localSheetId="1" hidden="1">2</definedName>
    <definedName name="solver_lin" localSheetId="2" hidden="1">2</definedName>
    <definedName name="solver_mip" localSheetId="1" hidden="1">2147483647</definedName>
    <definedName name="solver_mip" localSheetId="2" hidden="1">2147483647</definedName>
    <definedName name="solver_mni" localSheetId="1" hidden="1">30</definedName>
    <definedName name="solver_mni" localSheetId="2" hidden="1">30</definedName>
    <definedName name="solver_mrt" localSheetId="1" hidden="1">0.075</definedName>
    <definedName name="solver_mrt" localSheetId="2" hidden="1">0.075</definedName>
    <definedName name="solver_msl" localSheetId="1" hidden="1">2</definedName>
    <definedName name="solver_msl" localSheetId="2" hidden="1">2</definedName>
    <definedName name="solver_neg" localSheetId="1" hidden="1">1</definedName>
    <definedName name="solver_neg" localSheetId="2" hidden="1">1</definedName>
    <definedName name="solver_neg" localSheetId="3" hidden="1">1</definedName>
    <definedName name="solver_nod" localSheetId="1" hidden="1">2147483647</definedName>
    <definedName name="solver_nod" localSheetId="2" hidden="1">2147483647</definedName>
    <definedName name="solver_num" localSheetId="1" hidden="1">2</definedName>
    <definedName name="solver_num" localSheetId="2" hidden="1">4</definedName>
    <definedName name="solver_num" localSheetId="3" hidden="1">3</definedName>
    <definedName name="solver_nwt" localSheetId="1" hidden="1">1</definedName>
    <definedName name="solver_nwt" localSheetId="2" hidden="1">1</definedName>
    <definedName name="solver_opt" localSheetId="1" hidden="1">Input!$B$19</definedName>
    <definedName name="solver_opt" localSheetId="2" hidden="1">'K-Distribution'!$E$4</definedName>
    <definedName name="solver_opt" localSheetId="3" hidden="1">Output!$B$22</definedName>
    <definedName name="solver_pre" localSheetId="1" hidden="1">0.000001</definedName>
    <definedName name="solver_pre" localSheetId="2" hidden="1">0.000001</definedName>
    <definedName name="solver_rbv" localSheetId="1" hidden="1">2</definedName>
    <definedName name="solver_rbv" localSheetId="2" hidden="1">1</definedName>
    <definedName name="solver_rel1" localSheetId="1" hidden="1">3</definedName>
    <definedName name="solver_rel1" localSheetId="2" hidden="1">3</definedName>
    <definedName name="solver_rel1" localSheetId="3" hidden="1">2</definedName>
    <definedName name="solver_rel2" localSheetId="1" hidden="1">3</definedName>
    <definedName name="solver_rel2" localSheetId="2" hidden="1">1</definedName>
    <definedName name="solver_rel2" localSheetId="3" hidden="1">3</definedName>
    <definedName name="solver_rel3" localSheetId="1" hidden="1">3</definedName>
    <definedName name="solver_rel3" localSheetId="2" hidden="1">3</definedName>
    <definedName name="solver_rel3" localSheetId="3" hidden="1">3</definedName>
    <definedName name="solver_rel4" localSheetId="1" hidden="1">2</definedName>
    <definedName name="solver_rel4" localSheetId="2" hidden="1">1</definedName>
    <definedName name="solver_rel5" localSheetId="1" hidden="1">2</definedName>
    <definedName name="solver_rel5" localSheetId="2" hidden="1">3</definedName>
    <definedName name="solver_rhs1" localSheetId="1" hidden="1">0.01</definedName>
    <definedName name="solver_rhs1" localSheetId="2" hidden="1">0.5*'K-Distribution'!$CT$4</definedName>
    <definedName name="solver_rhs1" localSheetId="3" hidden="1">Output!$B$17*Output!$B$13</definedName>
    <definedName name="solver_rhs2" localSheetId="1" hidden="1">Input!$K$14+Input!$K$15</definedName>
    <definedName name="solver_rhs2" localSheetId="2" hidden="1">1.5*'K-Distribution'!$CT$4</definedName>
    <definedName name="solver_rhs2" localSheetId="3" hidden="1">0.1</definedName>
    <definedName name="solver_rhs3" localSheetId="1" hidden="1">Input!$K$16</definedName>
    <definedName name="solver_rhs3" localSheetId="2" hidden="1">0.9*'K-Distribution'!$CT$5</definedName>
    <definedName name="solver_rhs3" localSheetId="3" hidden="1">Output!#REF!</definedName>
    <definedName name="solver_rhs4" localSheetId="1" hidden="1">Input!$B$18</definedName>
    <definedName name="solver_rhs4" localSheetId="2" hidden="1">1.1*'K-Distribution'!$CT$5</definedName>
    <definedName name="solver_rhs5" localSheetId="1" hidden="1">Input!$B$18</definedName>
    <definedName name="solver_rhs5" localSheetId="2" hidden="1">1</definedName>
    <definedName name="solver_rlx" localSheetId="1" hidden="1">2</definedName>
    <definedName name="solver_rlx" localSheetId="2" hidden="1">2</definedName>
    <definedName name="solver_rsd" localSheetId="1" hidden="1">0</definedName>
    <definedName name="solver_rsd" localSheetId="2" hidden="1">0</definedName>
    <definedName name="solver_scl" localSheetId="1" hidden="1">2</definedName>
    <definedName name="solver_scl" localSheetId="2" hidden="1">2</definedName>
    <definedName name="solver_sho" localSheetId="1" hidden="1">2</definedName>
    <definedName name="solver_sho" localSheetId="2" hidden="1">2</definedName>
    <definedName name="solver_ssz" localSheetId="1" hidden="1">100</definedName>
    <definedName name="solver_ssz" localSheetId="2" hidden="1">100</definedName>
    <definedName name="solver_tim" localSheetId="1" hidden="1">100</definedName>
    <definedName name="solver_tim" localSheetId="2" hidden="1">100</definedName>
    <definedName name="solver_tol" localSheetId="1" hidden="1">0.05</definedName>
    <definedName name="solver_tol" localSheetId="2" hidden="1">0.05</definedName>
    <definedName name="solver_typ" localSheetId="1" hidden="1">3</definedName>
    <definedName name="solver_typ" localSheetId="2" hidden="1">2</definedName>
    <definedName name="solver_typ" localSheetId="3" hidden="1">3</definedName>
    <definedName name="solver_val" localSheetId="1" hidden="1">0</definedName>
    <definedName name="solver_val" localSheetId="2" hidden="1">0</definedName>
    <definedName name="solver_val" localSheetId="3" hidden="1">0</definedName>
    <definedName name="solver_ver" localSheetId="1" hidden="1">3</definedName>
    <definedName name="solver_ver" localSheetId="2" hidden="1">3</definedName>
    <definedName name="solver_ver" localSheetId="3" hidden="1">3</definedName>
    <definedName name="W_area">Input!$K$9</definedName>
    <definedName name="W_rad">Input!$K$10</definedName>
    <definedName name="Warea">Input!$K$9</definedName>
    <definedName name="Wradius">Input!$K$10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62" i="3" l="1"/>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B4" i="3"/>
  <c r="C109" i="3" s="1"/>
  <c r="B2" i="3"/>
  <c r="C66" i="3" s="1"/>
  <c r="C67" i="3" l="1"/>
  <c r="C63" i="3"/>
  <c r="C64" i="3"/>
  <c r="C65" i="3"/>
  <c r="C94" i="3"/>
  <c r="C71" i="3"/>
  <c r="C110" i="3"/>
  <c r="C111" i="3"/>
  <c r="C96" i="3"/>
  <c r="C81" i="3"/>
  <c r="C97" i="3"/>
  <c r="C105" i="3"/>
  <c r="C70" i="3"/>
  <c r="C79" i="3"/>
  <c r="C72" i="3"/>
  <c r="C106" i="3"/>
  <c r="C102" i="3"/>
  <c r="C95" i="3"/>
  <c r="C104" i="3"/>
  <c r="C82" i="3"/>
  <c r="C75" i="3"/>
  <c r="C83" i="3"/>
  <c r="C91" i="3"/>
  <c r="C99" i="3"/>
  <c r="C107" i="3"/>
  <c r="CT2" i="3"/>
  <c r="CT3" i="3" s="1"/>
  <c r="C78" i="3"/>
  <c r="C87" i="3"/>
  <c r="C88" i="3"/>
  <c r="C73" i="3"/>
  <c r="C90" i="3"/>
  <c r="C68" i="3"/>
  <c r="C108" i="3"/>
  <c r="C86" i="3"/>
  <c r="C103" i="3"/>
  <c r="C80" i="3"/>
  <c r="C89" i="3"/>
  <c r="C74" i="3"/>
  <c r="C98" i="3"/>
  <c r="C76" i="3"/>
  <c r="C84" i="3"/>
  <c r="C92" i="3"/>
  <c r="C100" i="3"/>
  <c r="C69" i="3"/>
  <c r="C77" i="3"/>
  <c r="C85" i="3"/>
  <c r="C93" i="3"/>
  <c r="C101" i="3"/>
  <c r="K4" i="2" l="1"/>
  <c r="K5" i="2" s="1"/>
  <c r="K6" i="2" s="1"/>
  <c r="N4" i="2"/>
  <c r="N5" i="2" s="1"/>
  <c r="N6" i="2" s="1"/>
  <c r="K14" i="2" s="1"/>
  <c r="K15" i="2" s="1"/>
  <c r="B15" i="2" s="1"/>
  <c r="K10" i="2"/>
  <c r="K12" i="2"/>
  <c r="CT1" i="3" s="1"/>
  <c r="K18" i="2"/>
  <c r="B25" i="2"/>
  <c r="CU3" i="3" l="1"/>
  <c r="CU20" i="3"/>
  <c r="CU22" i="3"/>
  <c r="CU23" i="3"/>
  <c r="CU24" i="3"/>
  <c r="CU41" i="3"/>
  <c r="CU50" i="3"/>
  <c r="CU38" i="3"/>
  <c r="CU39" i="3"/>
  <c r="CU44" i="3"/>
  <c r="CU47" i="3"/>
  <c r="CU10" i="3"/>
  <c r="CU18" i="3"/>
  <c r="CU45" i="3"/>
  <c r="CU17" i="3"/>
  <c r="CU4" i="3"/>
  <c r="CU8" i="3"/>
  <c r="CU16" i="3"/>
  <c r="CU19" i="3"/>
  <c r="CU28" i="3"/>
  <c r="CU30" i="3"/>
  <c r="CU31" i="3"/>
  <c r="CU32" i="3"/>
  <c r="CU49" i="3"/>
  <c r="CU36" i="3"/>
  <c r="CU40" i="3"/>
  <c r="CU43" i="3"/>
  <c r="CU46" i="3"/>
  <c r="CU48" i="3"/>
  <c r="CU11" i="3"/>
  <c r="CU5" i="3"/>
  <c r="CU21" i="3"/>
  <c r="CU9" i="3"/>
  <c r="CU27" i="3"/>
  <c r="CU37" i="3"/>
  <c r="CU7" i="3"/>
  <c r="CU25" i="3"/>
  <c r="CU12" i="3"/>
  <c r="CU14" i="3"/>
  <c r="CU33" i="3"/>
  <c r="CU42" i="3"/>
  <c r="CU35" i="3"/>
  <c r="CU2" i="3"/>
  <c r="CU13" i="3"/>
  <c r="CU26" i="3"/>
  <c r="CU6" i="3"/>
  <c r="CU34" i="3"/>
  <c r="CU15" i="3"/>
  <c r="CU29" i="3"/>
  <c r="K9" i="2"/>
  <c r="B26" i="2"/>
  <c r="N9" i="2"/>
  <c r="CU1" i="3" l="1"/>
  <c r="E4" i="3" s="1"/>
  <c r="B20" i="2"/>
  <c r="B24" i="2"/>
  <c r="K17" i="2"/>
  <c r="K13" i="2"/>
  <c r="Q14" i="2" s="1"/>
  <c r="K21" i="2" l="1"/>
  <c r="B18" i="2"/>
  <c r="B19" i="2" s="1"/>
  <c r="K19" i="2" l="1"/>
  <c r="K7" i="2"/>
  <c r="K22" i="2" l="1"/>
  <c r="B21" i="2" s="1"/>
  <c r="K23" i="2"/>
  <c r="B22" i="2" s="1"/>
  <c r="B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bhuffman</author>
    <author>Harte, Philip T.</author>
  </authors>
  <commentList>
    <comment ref="A6" authorId="0" shapeId="0" xr:uid="{00000000-0006-0000-0100-000001000000}">
      <text>
        <r>
          <rPr>
            <b/>
            <sz val="9"/>
            <color indexed="81"/>
            <rFont val="Tahoma"/>
            <family val="2"/>
          </rPr>
          <t>If there is no data here, put 0 feet</t>
        </r>
        <r>
          <rPr>
            <sz val="9"/>
            <color indexed="81"/>
            <rFont val="Tahoma"/>
            <family val="2"/>
          </rPr>
          <t xml:space="preserve">
</t>
        </r>
      </text>
    </comment>
    <comment ref="A7" authorId="0" shapeId="0" xr:uid="{00000000-0006-0000-0100-000002000000}">
      <text>
        <r>
          <rPr>
            <b/>
            <sz val="9"/>
            <color indexed="81"/>
            <rFont val="Tahoma"/>
            <family val="2"/>
          </rPr>
          <t xml:space="preserve">If there is no data here, put 0 feet
</t>
        </r>
      </text>
    </comment>
    <comment ref="A10" authorId="0" shapeId="0" xr:uid="{00000000-0006-0000-0100-000003000000}">
      <text>
        <r>
          <rPr>
            <b/>
            <sz val="9"/>
            <color indexed="81"/>
            <rFont val="Tahoma"/>
            <family val="2"/>
          </rPr>
          <t>Anticipated purge time observed from previous stabilization data</t>
        </r>
      </text>
    </comment>
    <comment ref="A13" authorId="1" shapeId="0" xr:uid="{00000000-0006-0000-0100-000004000000}">
      <text>
        <r>
          <rPr>
            <b/>
            <sz val="9"/>
            <color indexed="81"/>
            <rFont val="Tahoma"/>
            <family val="2"/>
          </rPr>
          <t>Mutiplicative factor to account for differences between layers of low and high hydraulic conductivity across the well opening</t>
        </r>
      </text>
    </comment>
    <comment ref="A18" authorId="0" shapeId="0" xr:uid="{00000000-0006-0000-0100-000005000000}">
      <text>
        <r>
          <rPr>
            <b/>
            <sz val="9"/>
            <color indexed="81"/>
            <rFont val="Tahoma"/>
            <family val="2"/>
          </rPr>
          <t>IF drawdown, S, is observed then this number should be less than the purge rate</t>
        </r>
      </text>
    </comment>
    <comment ref="A21" authorId="0" shapeId="0" xr:uid="{00000000-0006-0000-0100-000006000000}">
      <text>
        <r>
          <rPr>
            <b/>
            <sz val="9"/>
            <color indexed="81"/>
            <rFont val="Tahoma"/>
            <family val="2"/>
          </rPr>
          <t>Adjustment Included: well storage</t>
        </r>
      </text>
    </comment>
    <comment ref="A22" authorId="0" shapeId="0" xr:uid="{00000000-0006-0000-0100-000007000000}">
      <text>
        <r>
          <rPr>
            <b/>
            <sz val="9"/>
            <color indexed="81"/>
            <rFont val="Tahoma"/>
            <family val="2"/>
          </rPr>
          <t>Adjustments Including: well storage &amp; horizontal flow at pump intake</t>
        </r>
      </text>
    </comment>
    <comment ref="A24" authorId="0" shapeId="0" xr:uid="{00000000-0006-0000-0100-000008000000}">
      <text>
        <r>
          <rPr>
            <b/>
            <sz val="9"/>
            <color indexed="81"/>
            <rFont val="Tahoma"/>
            <family val="2"/>
          </rPr>
          <t>Time to evacuate the volume equivalent to three saturated wellbore volumes</t>
        </r>
      </text>
    </comment>
    <comment ref="A29" authorId="0" shapeId="0" xr:uid="{00000000-0006-0000-0100-000009000000}">
      <text>
        <r>
          <rPr>
            <b/>
            <sz val="12"/>
            <color indexed="81"/>
            <rFont val="Tahoma"/>
            <family val="2"/>
          </rPr>
          <t>Location from Top of Screen, ex:
5 feet above T.O.S. = -5
5 feet below T.O.S = 5</t>
        </r>
      </text>
    </comment>
    <comment ref="A30" authorId="0" shapeId="0" xr:uid="{00000000-0006-0000-0100-00000A000000}">
      <text>
        <r>
          <rPr>
            <b/>
            <sz val="12"/>
            <color indexed="81"/>
            <rFont val="Tahoma"/>
            <family val="2"/>
          </rPr>
          <t>Distance from pump that is considered in the mixing zone, ex:
Buffer = .5 ; Pump Location = 5
Then the mixing zone is bounded from 4.5 to 5.5.</t>
        </r>
      </text>
    </comment>
    <comment ref="A31" authorId="0" shapeId="0" xr:uid="{00000000-0006-0000-0100-00000B000000}">
      <text>
        <r>
          <rPr>
            <b/>
            <sz val="12"/>
            <color indexed="81"/>
            <rFont val="Tahoma"/>
            <family val="2"/>
          </rPr>
          <t xml:space="preserve">Vertical size of control volumes in the water column </t>
        </r>
      </text>
    </comment>
  </commentList>
</comments>
</file>

<file path=xl/sharedStrings.xml><?xml version="1.0" encoding="utf-8"?>
<sst xmlns="http://schemas.openxmlformats.org/spreadsheetml/2006/main" count="622" uniqueCount="129">
  <si>
    <t>min</t>
  </si>
  <si>
    <t>Time interval for Aquifer Fraction graph</t>
  </si>
  <si>
    <t>ft</t>
  </si>
  <si>
    <t>Pump Location relative to top of screen (Above screen specify negative number for absolute distance)</t>
  </si>
  <si>
    <t>Units</t>
  </si>
  <si>
    <t>Inputs</t>
  </si>
  <si>
    <t>Program Variables</t>
  </si>
  <si>
    <t>ft/day</t>
  </si>
  <si>
    <r>
      <t xml:space="preserve">Average K of Well Screen, </t>
    </r>
    <r>
      <rPr>
        <b/>
        <sz val="12"/>
        <color theme="1"/>
        <rFont val="Calibri"/>
        <family val="2"/>
        <scheme val="minor"/>
      </rPr>
      <t>K</t>
    </r>
    <r>
      <rPr>
        <b/>
        <vertAlign val="subscript"/>
        <sz val="12"/>
        <color theme="1"/>
        <rFont val="Calibri"/>
        <family val="2"/>
        <scheme val="minor"/>
      </rPr>
      <t>avg</t>
    </r>
  </si>
  <si>
    <r>
      <t>ft</t>
    </r>
    <r>
      <rPr>
        <vertAlign val="superscript"/>
        <sz val="12"/>
        <color theme="1"/>
        <rFont val="Calibri"/>
        <family val="2"/>
        <scheme val="minor"/>
      </rPr>
      <t>2</t>
    </r>
    <r>
      <rPr>
        <sz val="12"/>
        <color theme="1"/>
        <rFont val="Calibri"/>
        <family val="2"/>
        <scheme val="minor"/>
      </rPr>
      <t>/day</t>
    </r>
  </si>
  <si>
    <r>
      <t xml:space="preserve">Transmissivity of Well Screen, </t>
    </r>
    <r>
      <rPr>
        <b/>
        <sz val="12"/>
        <color theme="1"/>
        <rFont val="Calibri"/>
        <family val="2"/>
        <scheme val="minor"/>
      </rPr>
      <t>T</t>
    </r>
  </si>
  <si>
    <t>ft/min</t>
  </si>
  <si>
    <t>Velocity Corrections</t>
  </si>
  <si>
    <r>
      <t>ft</t>
    </r>
    <r>
      <rPr>
        <vertAlign val="superscript"/>
        <sz val="12"/>
        <color theme="1"/>
        <rFont val="Calibri"/>
        <family val="2"/>
        <scheme val="minor"/>
      </rPr>
      <t>3</t>
    </r>
  </si>
  <si>
    <t>Observed wellbore storage volume</t>
  </si>
  <si>
    <r>
      <t>ft</t>
    </r>
    <r>
      <rPr>
        <vertAlign val="superscript"/>
        <sz val="12"/>
        <color theme="1"/>
        <rFont val="Calibri"/>
        <family val="2"/>
        <scheme val="minor"/>
      </rPr>
      <t>3</t>
    </r>
    <r>
      <rPr>
        <sz val="12"/>
        <color theme="1"/>
        <rFont val="Calibri"/>
        <family val="2"/>
        <scheme val="minor"/>
      </rPr>
      <t>/min</t>
    </r>
  </si>
  <si>
    <t>Difference between Radial flow - Purge Rate</t>
  </si>
  <si>
    <t>Drawdown Velocity</t>
  </si>
  <si>
    <t>Minimum potential equilibrium purge rate</t>
  </si>
  <si>
    <t>Velocity Components</t>
  </si>
  <si>
    <t>Averaged Purge Velocity</t>
  </si>
  <si>
    <t>Outputs</t>
  </si>
  <si>
    <t>Radial Flow</t>
  </si>
  <si>
    <r>
      <t xml:space="preserve">Heterogeneity Factor, </t>
    </r>
    <r>
      <rPr>
        <b/>
        <sz val="12"/>
        <color theme="1"/>
        <rFont val="Calibri"/>
        <family val="2"/>
        <scheme val="minor"/>
      </rPr>
      <t>HF (1=Homogeneous)</t>
    </r>
  </si>
  <si>
    <t>Flow Components</t>
  </si>
  <si>
    <r>
      <t xml:space="preserve">Drawdown, </t>
    </r>
    <r>
      <rPr>
        <b/>
        <sz val="12"/>
        <color theme="1"/>
        <rFont val="Calibri"/>
        <family val="2"/>
        <scheme val="minor"/>
      </rPr>
      <t>s</t>
    </r>
  </si>
  <si>
    <t>L/min</t>
  </si>
  <si>
    <t>Well Radius</t>
  </si>
  <si>
    <r>
      <t xml:space="preserve">Actual or Anticipated purging time, </t>
    </r>
    <r>
      <rPr>
        <b/>
        <sz val="12"/>
        <color theme="1"/>
        <rFont val="Calibri"/>
        <family val="2"/>
        <scheme val="minor"/>
      </rPr>
      <t>t</t>
    </r>
    <r>
      <rPr>
        <b/>
        <vertAlign val="subscript"/>
        <sz val="12"/>
        <color theme="1"/>
        <rFont val="Calibri"/>
        <family val="2"/>
        <scheme val="minor"/>
      </rPr>
      <t>purge</t>
    </r>
  </si>
  <si>
    <r>
      <t>ft</t>
    </r>
    <r>
      <rPr>
        <vertAlign val="superscript"/>
        <sz val="12"/>
        <color theme="1"/>
        <rFont val="Calibri"/>
        <family val="2"/>
        <scheme val="minor"/>
      </rPr>
      <t>2</t>
    </r>
  </si>
  <si>
    <t>Well Area</t>
  </si>
  <si>
    <t>inches</t>
  </si>
  <si>
    <r>
      <t xml:space="preserve">Well Diameter, </t>
    </r>
    <r>
      <rPr>
        <b/>
        <sz val="12"/>
        <color theme="1"/>
        <rFont val="Calibri"/>
        <family val="2"/>
        <scheme val="minor"/>
      </rPr>
      <t>D</t>
    </r>
    <r>
      <rPr>
        <b/>
        <vertAlign val="subscript"/>
        <sz val="12"/>
        <color theme="1"/>
        <rFont val="Calibri"/>
        <family val="2"/>
        <scheme val="minor"/>
      </rPr>
      <t>well</t>
    </r>
  </si>
  <si>
    <r>
      <t>Length of Screen,</t>
    </r>
    <r>
      <rPr>
        <b/>
        <sz val="12"/>
        <color theme="1"/>
        <rFont val="Calibri"/>
        <family val="2"/>
        <scheme val="minor"/>
      </rPr>
      <t xml:space="preserve"> L</t>
    </r>
    <r>
      <rPr>
        <b/>
        <vertAlign val="subscript"/>
        <sz val="12"/>
        <color theme="1"/>
        <rFont val="Calibri"/>
        <family val="2"/>
        <scheme val="minor"/>
      </rPr>
      <t>s</t>
    </r>
  </si>
  <si>
    <r>
      <t xml:space="preserve">Depth to Top of Screen below reference, </t>
    </r>
    <r>
      <rPr>
        <b/>
        <sz val="12"/>
        <color theme="1"/>
        <rFont val="Calibri"/>
        <family val="2"/>
        <scheme val="minor"/>
      </rPr>
      <t>DTS</t>
    </r>
  </si>
  <si>
    <t>Length of Saturated Screen</t>
  </si>
  <si>
    <r>
      <t xml:space="preserve">Depth to Water below reference, </t>
    </r>
    <r>
      <rPr>
        <b/>
        <sz val="12"/>
        <color theme="1"/>
        <rFont val="Calibri"/>
        <family val="2"/>
        <scheme val="minor"/>
      </rPr>
      <t>DTW</t>
    </r>
  </si>
  <si>
    <t>Length of Dry Screen Section</t>
  </si>
  <si>
    <r>
      <t xml:space="preserve">Date </t>
    </r>
    <r>
      <rPr>
        <b/>
        <sz val="12"/>
        <color theme="1"/>
        <rFont val="Calibri"/>
        <family val="2"/>
        <scheme val="minor"/>
      </rPr>
      <t>(mm/dd/yyyy)</t>
    </r>
  </si>
  <si>
    <t>Head above screen</t>
  </si>
  <si>
    <t>test</t>
  </si>
  <si>
    <t>Well Name</t>
  </si>
  <si>
    <t>Pumping</t>
  </si>
  <si>
    <t>Pre-Pumping</t>
  </si>
  <si>
    <t>Calculations</t>
  </si>
  <si>
    <t>Assumptions and Equations</t>
  </si>
  <si>
    <t>Initial Inputs &amp; Calculations</t>
  </si>
  <si>
    <t>PAT=PURGE ANALYZER TOOL</t>
  </si>
  <si>
    <t>Bottom</t>
  </si>
  <si>
    <t>L</t>
  </si>
  <si>
    <t>H</t>
  </si>
  <si>
    <t>M</t>
  </si>
  <si>
    <t>Pump</t>
  </si>
  <si>
    <t>Water Level</t>
  </si>
  <si>
    <t>K Value</t>
  </si>
  <si>
    <t>Position</t>
  </si>
  <si>
    <t>K Type</t>
  </si>
  <si>
    <t>Error</t>
  </si>
  <si>
    <t>Low</t>
  </si>
  <si>
    <t>Medium</t>
  </si>
  <si>
    <t>Rock Fracture @ Top</t>
  </si>
  <si>
    <t>High</t>
  </si>
  <si>
    <t>Randomized Formation</t>
  </si>
  <si>
    <t>Trimodal Formation</t>
  </si>
  <si>
    <t>Bimodal Formation</t>
  </si>
  <si>
    <t>Double Rock Fracture</t>
  </si>
  <si>
    <t>Rock Fracture @ Bottom</t>
  </si>
  <si>
    <t>Rock Fracture @ Middle</t>
  </si>
  <si>
    <t>Oscillating Formation</t>
  </si>
  <si>
    <t>HF</t>
  </si>
  <si>
    <t>Cenroid Position</t>
  </si>
  <si>
    <t>Index Number</t>
  </si>
  <si>
    <t>Vertical Face Position</t>
  </si>
  <si>
    <t>Vertical Velocity</t>
  </si>
  <si>
    <t>Purge Time</t>
  </si>
  <si>
    <t>Aquifer Fraction</t>
  </si>
  <si>
    <t>Centroid Position</t>
  </si>
  <si>
    <t>Travel Time</t>
  </si>
  <si>
    <t>Travel Time (accel)</t>
  </si>
  <si>
    <t>Radial Velocity (Mixing Unit)</t>
  </si>
  <si>
    <t>Radial Area in Mixing Unit</t>
  </si>
  <si>
    <t>Potential minimum purge time</t>
  </si>
  <si>
    <t>V.7.1</t>
  </si>
  <si>
    <t>1. Enter data onto the "INPUT" sheet.</t>
  </si>
  <si>
    <t>Calculated Parameters</t>
  </si>
  <si>
    <t>Input Parameters</t>
  </si>
  <si>
    <t>Assumptions and Explanations</t>
  </si>
  <si>
    <t xml:space="preserve">The pump location is the intake depth of the pump. For pump positions (intake depth) within the open interval, positive distances from the top of the opening are specified. For pump positions within the casing, negative distances are specified. </t>
  </si>
  <si>
    <t xml:space="preserve">The 'time interval’  parameter allows for higher resolution and computation of vertical time of travel. This allows for higher resolution of computation of aquifer fraction graphs. The smaller the time interval the smoother the aquifer fraction graphs appear. </t>
  </si>
  <si>
    <t>Multiplicative factor that defines the range of hydraulic conductivity differences encountered. A homogeneous aquifer is assigned a multiplicative factor of 1. A five fold difference between the lowest and highest hydraulic conductivity is assigned a 5.0.</t>
  </si>
  <si>
    <t>Maximum potential vertical wellbore velocity with no well storage</t>
  </si>
  <si>
    <t>Adjusted maximum potential vertical wellbore velocity including well storage</t>
  </si>
  <si>
    <t>Mass balance equation where Qv = vertical flow, Qh = radial flow in mixing zone, Qp = purge rate, Qw = well storage depletion rate</t>
  </si>
  <si>
    <t>Volumetric purge time</t>
  </si>
  <si>
    <r>
      <t xml:space="preserve">Well Storage Rate, </t>
    </r>
    <r>
      <rPr>
        <b/>
        <sz val="12"/>
        <color theme="1"/>
        <rFont val="Calibri"/>
        <family val="2"/>
        <scheme val="minor"/>
      </rPr>
      <t>Q</t>
    </r>
    <r>
      <rPr>
        <b/>
        <vertAlign val="subscript"/>
        <sz val="12"/>
        <color theme="1"/>
        <rFont val="Calibri"/>
        <family val="2"/>
        <scheme val="minor"/>
      </rPr>
      <t>w</t>
    </r>
  </si>
  <si>
    <r>
      <t xml:space="preserve">Radial Flow in Mixing Unit, </t>
    </r>
    <r>
      <rPr>
        <b/>
        <sz val="12"/>
        <color theme="1"/>
        <rFont val="Calibri"/>
        <family val="2"/>
        <scheme val="minor"/>
      </rPr>
      <t>Q</t>
    </r>
    <r>
      <rPr>
        <b/>
        <vertAlign val="subscript"/>
        <sz val="12"/>
        <color theme="1"/>
        <rFont val="Calibri"/>
        <family val="2"/>
        <scheme val="minor"/>
      </rPr>
      <t>h</t>
    </r>
  </si>
  <si>
    <r>
      <t xml:space="preserve">Vertical Flow to Mixing Unit, </t>
    </r>
    <r>
      <rPr>
        <b/>
        <sz val="12"/>
        <color theme="1"/>
        <rFont val="Calibri"/>
        <family val="2"/>
        <scheme val="minor"/>
      </rPr>
      <t>Q</t>
    </r>
    <r>
      <rPr>
        <b/>
        <vertAlign val="subscript"/>
        <sz val="12"/>
        <color theme="1"/>
        <rFont val="Calibri"/>
        <family val="2"/>
        <scheme val="minor"/>
      </rPr>
      <t>v</t>
    </r>
  </si>
  <si>
    <r>
      <t>Averaged Purge Rate, Q</t>
    </r>
    <r>
      <rPr>
        <b/>
        <vertAlign val="subscript"/>
        <sz val="12"/>
        <color theme="1"/>
        <rFont val="Calibri"/>
        <family val="2"/>
        <scheme val="minor"/>
      </rPr>
      <t>p</t>
    </r>
  </si>
  <si>
    <t>Drawdown (s) assumes quasi steady state has been reached for the soecified pump time. If s is 0 then use .01 as head approximation for the Dupuit-Theim eqn.</t>
  </si>
  <si>
    <t>Calculated in solution (reverse) mode</t>
  </si>
  <si>
    <t xml:space="preserve"> Difference between average purge velocity and drawdown velocity</t>
  </si>
  <si>
    <t>Minimum likely purge time needed to flush out the well opening based on 1/2 times the adjusted maximim velocity</t>
  </si>
  <si>
    <t>Time needed to evacuate the equivalent of three saturated wellbore volumes based on pump rate</t>
  </si>
  <si>
    <r>
      <t>Difference between Sum of radial flow from Dupuit-Thiem eqn - Adjusted Average Purge Rate (Q</t>
    </r>
    <r>
      <rPr>
        <vertAlign val="subscript"/>
        <sz val="9"/>
        <color theme="1"/>
        <rFont val="Calibri"/>
        <family val="2"/>
        <scheme val="minor"/>
      </rPr>
      <t>p'</t>
    </r>
    <r>
      <rPr>
        <sz val="9"/>
        <color theme="1"/>
        <rFont val="Calibri"/>
        <family val="2"/>
        <scheme val="minor"/>
      </rPr>
      <t>)</t>
    </r>
  </si>
  <si>
    <t xml:space="preserve">This is relevant for forward mode only when pumnp is set in the screen or open interval adjacent to the highest hydraulic conductivity zone encountered. </t>
  </si>
  <si>
    <t>Average hydraulic conductivity for screen or open interval</t>
  </si>
  <si>
    <r>
      <t>Q</t>
    </r>
    <r>
      <rPr>
        <vertAlign val="subscript"/>
        <sz val="12"/>
        <color theme="1"/>
        <rFont val="Calibri"/>
        <family val="2"/>
        <scheme val="minor"/>
      </rPr>
      <t>v</t>
    </r>
    <r>
      <rPr>
        <sz val="12"/>
        <color theme="1"/>
        <rFont val="Calibri"/>
        <family val="2"/>
        <scheme val="minor"/>
      </rPr>
      <t xml:space="preserve"> (eq. 1)</t>
    </r>
  </si>
  <si>
    <r>
      <t xml:space="preserve">Mixing Zone Buffer length above/below pump intake, </t>
    </r>
    <r>
      <rPr>
        <b/>
        <sz val="12"/>
        <color theme="1"/>
        <rFont val="Calibri"/>
        <family val="2"/>
        <scheme val="minor"/>
      </rPr>
      <t>M</t>
    </r>
    <r>
      <rPr>
        <b/>
        <vertAlign val="subscript"/>
        <sz val="12"/>
        <color theme="1"/>
        <rFont val="Calibri"/>
        <family val="2"/>
        <scheme val="minor"/>
      </rPr>
      <t>z</t>
    </r>
  </si>
  <si>
    <r>
      <t xml:space="preserve">Cell Thickness of layers to compute horizontal radial flow, </t>
    </r>
    <r>
      <rPr>
        <b/>
        <sz val="12"/>
        <color theme="1"/>
        <rFont val="Calibri"/>
        <family val="2"/>
        <scheme val="minor"/>
      </rPr>
      <t>L</t>
    </r>
    <r>
      <rPr>
        <b/>
        <vertAlign val="subscript"/>
        <sz val="12"/>
        <color theme="1"/>
        <rFont val="Calibri"/>
        <family val="2"/>
        <scheme val="minor"/>
      </rPr>
      <t>T</t>
    </r>
  </si>
  <si>
    <r>
      <t>Purge (Q</t>
    </r>
    <r>
      <rPr>
        <vertAlign val="subscript"/>
        <sz val="12"/>
        <color theme="1"/>
        <rFont val="Calibri"/>
        <family val="2"/>
        <scheme val="minor"/>
      </rPr>
      <t>p</t>
    </r>
    <r>
      <rPr>
        <sz val="12"/>
        <color theme="1"/>
        <rFont val="Calibri"/>
        <family val="2"/>
        <scheme val="minor"/>
      </rPr>
      <t>) - Drawdown (s)</t>
    </r>
  </si>
  <si>
    <r>
      <t>Purge (Q</t>
    </r>
    <r>
      <rPr>
        <vertAlign val="subscript"/>
        <sz val="12"/>
        <color theme="1"/>
        <rFont val="Calibri"/>
        <family val="2"/>
        <scheme val="minor"/>
      </rPr>
      <t>p</t>
    </r>
    <r>
      <rPr>
        <sz val="12"/>
        <color theme="1"/>
        <rFont val="Calibri"/>
        <family val="2"/>
        <scheme val="minor"/>
      </rPr>
      <t>) - Radial (Mixing Unit) (Q</t>
    </r>
    <r>
      <rPr>
        <vertAlign val="subscript"/>
        <sz val="12"/>
        <color theme="1"/>
        <rFont val="Calibri"/>
        <family val="2"/>
        <scheme val="minor"/>
      </rPr>
      <t>h</t>
    </r>
    <r>
      <rPr>
        <sz val="12"/>
        <color theme="1"/>
        <rFont val="Calibri"/>
        <family val="2"/>
        <scheme val="minor"/>
      </rPr>
      <t>)</t>
    </r>
  </si>
  <si>
    <r>
      <t>Purge (Q</t>
    </r>
    <r>
      <rPr>
        <vertAlign val="subscript"/>
        <sz val="12"/>
        <color theme="1"/>
        <rFont val="Calibri"/>
        <family val="2"/>
        <scheme val="minor"/>
      </rPr>
      <t>p</t>
    </r>
    <r>
      <rPr>
        <sz val="12"/>
        <color theme="1"/>
        <rFont val="Calibri"/>
        <family val="2"/>
        <scheme val="minor"/>
      </rPr>
      <t>) - Radial (Mixing Unit)(Q</t>
    </r>
    <r>
      <rPr>
        <vertAlign val="subscript"/>
        <sz val="12"/>
        <color theme="1"/>
        <rFont val="Calibri"/>
        <family val="2"/>
        <scheme val="minor"/>
      </rPr>
      <t>h</t>
    </r>
    <r>
      <rPr>
        <sz val="12"/>
        <color theme="1"/>
        <rFont val="Calibri"/>
        <family val="2"/>
        <scheme val="minor"/>
      </rPr>
      <t>) - Drawdown (s)</t>
    </r>
  </si>
  <si>
    <t>Cell thickness (vertical distance) is used to vertically discretize the calculations of horizontal flow and corresponding vertical flow over user-defined distances or layers.  The cell thicknesses should be at or less than the Mz distance and an even multiple.</t>
  </si>
  <si>
    <r>
      <t>The mixing zone (M</t>
    </r>
    <r>
      <rPr>
        <vertAlign val="subscript"/>
        <sz val="9"/>
        <color theme="1"/>
        <rFont val="Calibri"/>
        <family val="2"/>
        <scheme val="minor"/>
      </rPr>
      <t>z</t>
    </r>
    <r>
      <rPr>
        <sz val="9"/>
        <color theme="1"/>
        <rFont val="Calibri"/>
        <family val="2"/>
        <scheme val="minor"/>
      </rPr>
      <t>) is the vertical distance of the saturated water column of the well where flow is mixed and no computation  of vertical travel occurs. At a minimum, the mixing zone corresponds to the length of the pump intake. Must be an even multiple of L</t>
    </r>
    <r>
      <rPr>
        <vertAlign val="subscript"/>
        <sz val="9"/>
        <color theme="1"/>
        <rFont val="Calibri"/>
        <family val="2"/>
        <scheme val="minor"/>
      </rPr>
      <t>T</t>
    </r>
    <r>
      <rPr>
        <sz val="9"/>
        <color theme="1"/>
        <rFont val="Calibri"/>
        <family val="2"/>
        <scheme val="minor"/>
      </rPr>
      <t>.</t>
    </r>
  </si>
  <si>
    <t>An effective radius (re), or radius of influence, of 10 ft is assumed</t>
  </si>
  <si>
    <r>
      <t>Averaged Purge Rate,</t>
    </r>
    <r>
      <rPr>
        <b/>
        <sz val="12"/>
        <color theme="1"/>
        <rFont val="Calibri"/>
        <family val="2"/>
        <scheme val="minor"/>
      </rPr>
      <t xml:space="preserve"> Q</t>
    </r>
    <r>
      <rPr>
        <b/>
        <vertAlign val="subscript"/>
        <sz val="12"/>
        <color theme="1"/>
        <rFont val="Calibri"/>
        <family val="2"/>
        <scheme val="minor"/>
      </rPr>
      <t>p</t>
    </r>
  </si>
  <si>
    <r>
      <t>Operations instructions for reverse mode where the bulk hydraulic conductivity (K</t>
    </r>
    <r>
      <rPr>
        <b/>
        <vertAlign val="subscript"/>
        <sz val="16"/>
        <color theme="1"/>
        <rFont val="Calibri"/>
        <family val="2"/>
        <scheme val="minor"/>
      </rPr>
      <t>avg</t>
    </r>
    <r>
      <rPr>
        <b/>
        <sz val="16"/>
        <color theme="1"/>
        <rFont val="Calibri"/>
        <family val="2"/>
        <scheme val="minor"/>
      </rPr>
      <t>) is calculated.</t>
    </r>
  </si>
  <si>
    <t xml:space="preserve">4. If a HF factor &lt;&gt; 1 is specified (cell B13), a separate pop up sheet is created where the user can define several different vertical patterns of heterogeneity based on stratigraphy or other hydrogeologic conditions. </t>
  </si>
  <si>
    <t>2. Data are entered in cells B4:B13 and B29:B32 (GRAY COLOR CELLS) of the INPUT Sheet.</t>
  </si>
  <si>
    <t xml:space="preserve">3. Specify a HF factor of 1 in cell B13.  </t>
  </si>
  <si>
    <t>4. Specify  (Kavg) in cell B14.</t>
  </si>
  <si>
    <r>
      <t>Is vertical flow in well likely induced from purging, based on estimated radial flow in M</t>
    </r>
    <r>
      <rPr>
        <b/>
        <vertAlign val="subscript"/>
        <sz val="12"/>
        <color theme="1"/>
        <rFont val="Calibri"/>
        <family val="2"/>
        <scheme val="minor"/>
      </rPr>
      <t>z</t>
    </r>
    <r>
      <rPr>
        <b/>
        <sz val="12"/>
        <color theme="1"/>
        <rFont val="Calibri"/>
        <family val="2"/>
        <scheme val="minor"/>
      </rPr>
      <t>? (Forward mode)</t>
    </r>
  </si>
  <si>
    <r>
      <t>Operations instructions for forward mode where the bulk hydraulic conductivity (K</t>
    </r>
    <r>
      <rPr>
        <b/>
        <vertAlign val="subscript"/>
        <sz val="16"/>
        <color theme="1"/>
        <rFont val="Calibri"/>
        <family val="2"/>
        <scheme val="minor"/>
      </rPr>
      <t>avg</t>
    </r>
    <r>
      <rPr>
        <b/>
        <sz val="16"/>
        <color theme="1"/>
        <rFont val="Calibri"/>
        <family val="2"/>
        <scheme val="minor"/>
      </rPr>
      <t>) is known.</t>
    </r>
  </si>
  <si>
    <t xml:space="preserve">6. After specifying data, check cells B15:B16 for evaluation of likelihood of vertical flow in the well. </t>
  </si>
  <si>
    <t xml:space="preserve">5. Adjust drawdown (s) to zero if s is unknown. </t>
  </si>
  <si>
    <t>3. After specifying data, hit the "RUN MODEL" button on the bottom of the input sheet.</t>
  </si>
  <si>
    <t xml:space="preserve">7. Do not run model. </t>
  </si>
  <si>
    <r>
      <t>Hydraulic Conductivity, K</t>
    </r>
    <r>
      <rPr>
        <b/>
        <vertAlign val="subscript"/>
        <sz val="14"/>
        <color theme="1"/>
        <rFont val="Calibri"/>
        <family val="2"/>
        <scheme val="minor"/>
      </rPr>
      <t>avg</t>
    </r>
  </si>
  <si>
    <t>Dimensionless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</si>
</sst>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0.0"/>
    <numFmt numFmtId="166" formatCode="0.000"/>
  </numFmts>
  <fonts count="29" x14ac:knownFonts="1">
    <font>
      <sz val="11"/>
      <color theme="1"/>
      <name val="Calibri"/>
      <family val="2"/>
      <scheme val="minor"/>
    </font>
    <font>
      <sz val="11"/>
      <color rgb="FFFF0000"/>
      <name val="Calibri"/>
      <family val="2"/>
      <scheme val="minor"/>
    </font>
    <font>
      <sz val="12"/>
      <color theme="1"/>
      <name val="Calibri"/>
      <family val="2"/>
      <scheme val="minor"/>
    </font>
    <font>
      <b/>
      <sz val="12"/>
      <color theme="1"/>
      <name val="Calibri"/>
      <family val="2"/>
      <scheme val="minor"/>
    </font>
    <font>
      <sz val="9"/>
      <color theme="1"/>
      <name val="Calibri"/>
      <family val="2"/>
      <scheme val="minor"/>
    </font>
    <font>
      <b/>
      <sz val="12"/>
      <color rgb="FF0070C0"/>
      <name val="Calibri"/>
      <family val="2"/>
      <scheme val="minor"/>
    </font>
    <font>
      <b/>
      <vertAlign val="subscript"/>
      <sz val="12"/>
      <color theme="1"/>
      <name val="Calibri"/>
      <family val="2"/>
      <scheme val="minor"/>
    </font>
    <font>
      <vertAlign val="superscript"/>
      <sz val="12"/>
      <color theme="1"/>
      <name val="Calibri"/>
      <family val="2"/>
      <scheme val="minor"/>
    </font>
    <font>
      <b/>
      <sz val="12"/>
      <color theme="4" tint="-0.249977111117893"/>
      <name val="Calibri"/>
      <family val="2"/>
      <scheme val="minor"/>
    </font>
    <font>
      <b/>
      <sz val="12"/>
      <color rgb="FFFF0000"/>
      <name val="Calibri"/>
      <family val="2"/>
      <scheme val="minor"/>
    </font>
    <font>
      <vertAlign val="subscript"/>
      <sz val="12"/>
      <color theme="1"/>
      <name val="Calibri"/>
      <family val="2"/>
      <scheme val="minor"/>
    </font>
    <font>
      <b/>
      <sz val="12"/>
      <name val="Calibri"/>
      <family val="2"/>
      <scheme val="minor"/>
    </font>
    <font>
      <sz val="28"/>
      <color theme="1"/>
      <name val="Calibri"/>
      <family val="2"/>
      <scheme val="minor"/>
    </font>
    <font>
      <sz val="11"/>
      <color rgb="FF000000"/>
      <name val="Calibri"/>
      <family val="2"/>
    </font>
    <font>
      <b/>
      <sz val="11"/>
      <color rgb="FF000000"/>
      <name val="Calibri"/>
      <family val="2"/>
    </font>
    <font>
      <b/>
      <sz val="12"/>
      <color indexed="81"/>
      <name val="Tahoma"/>
      <family val="2"/>
    </font>
    <font>
      <b/>
      <sz val="11"/>
      <color theme="1"/>
      <name val="Calibri"/>
      <family val="2"/>
      <scheme val="minor"/>
    </font>
    <font>
      <b/>
      <sz val="14"/>
      <color theme="1"/>
      <name val="Calibri"/>
      <family val="2"/>
      <scheme val="minor"/>
    </font>
    <font>
      <b/>
      <sz val="16"/>
      <color rgb="FF000000"/>
      <name val="Calibri"/>
      <family val="2"/>
    </font>
    <font>
      <b/>
      <sz val="12"/>
      <color theme="4"/>
      <name val="Calibri"/>
      <family val="2"/>
      <scheme val="minor"/>
    </font>
    <font>
      <b/>
      <sz val="9"/>
      <color indexed="81"/>
      <name val="Tahoma"/>
      <family val="2"/>
    </font>
    <font>
      <sz val="9"/>
      <color indexed="81"/>
      <name val="Tahoma"/>
      <family val="2"/>
    </font>
    <font>
      <vertAlign val="subscript"/>
      <sz val="9"/>
      <color theme="1"/>
      <name val="Calibri"/>
      <family val="2"/>
      <scheme val="minor"/>
    </font>
    <font>
      <b/>
      <sz val="11"/>
      <color rgb="FF0070C0"/>
      <name val="Calibri"/>
      <family val="2"/>
      <scheme val="minor"/>
    </font>
    <font>
      <b/>
      <sz val="11"/>
      <color rgb="FFFF0000"/>
      <name val="Calibri"/>
      <family val="2"/>
      <scheme val="minor"/>
    </font>
    <font>
      <b/>
      <sz val="16"/>
      <color theme="1"/>
      <name val="Calibri"/>
      <family val="2"/>
      <scheme val="minor"/>
    </font>
    <font>
      <b/>
      <vertAlign val="subscript"/>
      <sz val="16"/>
      <color theme="1"/>
      <name val="Calibri"/>
      <family val="2"/>
      <scheme val="minor"/>
    </font>
    <font>
      <b/>
      <sz val="26"/>
      <color rgb="FF000000"/>
      <name val="Calibri"/>
      <family val="2"/>
    </font>
    <font>
      <b/>
      <vertAlign val="subscript"/>
      <sz val="14"/>
      <color theme="1"/>
      <name val="Calibri"/>
      <family val="2"/>
      <scheme val="minor"/>
    </font>
  </fonts>
  <fills count="11">
    <fill>
      <patternFill patternType="none"/>
    </fill>
    <fill>
      <patternFill patternType="gray125"/>
    </fill>
    <fill>
      <patternFill patternType="solid">
        <fgColor theme="2"/>
        <bgColor indexed="64"/>
      </patternFill>
    </fill>
    <fill>
      <patternFill patternType="solid">
        <fgColor theme="9" tint="0.59999389629810485"/>
        <bgColor indexed="64"/>
      </patternFill>
    </fill>
    <fill>
      <patternFill patternType="solid">
        <fgColor theme="0"/>
        <bgColor indexed="64"/>
      </patternFill>
    </fill>
    <fill>
      <patternFill patternType="solid">
        <fgColor theme="7" tint="0.79998168889431442"/>
        <bgColor indexed="64"/>
      </patternFill>
    </fill>
    <fill>
      <patternFill patternType="solid">
        <fgColor rgb="FFFFA7A7"/>
        <bgColor indexed="64"/>
      </patternFill>
    </fill>
    <fill>
      <patternFill patternType="solid">
        <fgColor theme="4" tint="0.59999389629810485"/>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5" tint="0.39997558519241921"/>
        <bgColor indexed="64"/>
      </patternFill>
    </fill>
  </fills>
  <borders count="81">
    <border>
      <left/>
      <right/>
      <top/>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right style="thin">
        <color indexed="64"/>
      </right>
      <top/>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auto="1"/>
      </top>
      <bottom style="medium">
        <color auto="1"/>
      </bottom>
      <diagonal/>
    </border>
    <border>
      <left style="medium">
        <color auto="1"/>
      </left>
      <right/>
      <top style="medium">
        <color indexed="64"/>
      </top>
      <bottom style="medium">
        <color indexed="64"/>
      </bottom>
      <diagonal/>
    </border>
    <border>
      <left style="thin">
        <color theme="0"/>
      </left>
      <right style="medium">
        <color indexed="64"/>
      </right>
      <top style="thin">
        <color theme="0"/>
      </top>
      <bottom style="medium">
        <color indexed="64"/>
      </bottom>
      <diagonal/>
    </border>
    <border>
      <left style="thin">
        <color theme="0"/>
      </left>
      <right style="thin">
        <color theme="0"/>
      </right>
      <top style="thin">
        <color theme="0"/>
      </top>
      <bottom style="medium">
        <color indexed="64"/>
      </bottom>
      <diagonal/>
    </border>
    <border>
      <left/>
      <right style="thin">
        <color theme="0"/>
      </right>
      <top/>
      <bottom style="medium">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thin">
        <color theme="0"/>
      </left>
      <right style="medium">
        <color indexed="64"/>
      </right>
      <top style="thin">
        <color theme="0"/>
      </top>
      <bottom style="thin">
        <color theme="0"/>
      </bottom>
      <diagonal/>
    </border>
    <border>
      <left style="thin">
        <color theme="0"/>
      </left>
      <right style="thin">
        <color theme="0"/>
      </right>
      <top style="thin">
        <color theme="0"/>
      </top>
      <bottom style="thin">
        <color theme="0"/>
      </bottom>
      <diagonal/>
    </border>
    <border>
      <left style="thin">
        <color indexed="64"/>
      </left>
      <right style="medium">
        <color indexed="64"/>
      </right>
      <top/>
      <bottom/>
      <diagonal/>
    </border>
    <border>
      <left style="medium">
        <color indexed="64"/>
      </left>
      <right/>
      <top/>
      <bottom/>
      <diagonal/>
    </border>
    <border>
      <left style="medium">
        <color indexed="64"/>
      </left>
      <right style="thin">
        <color theme="0"/>
      </right>
      <top style="thin">
        <color theme="0"/>
      </top>
      <bottom style="thin">
        <color theme="0"/>
      </bottom>
      <diagonal/>
    </border>
    <border>
      <left/>
      <right/>
      <top/>
      <bottom style="medium">
        <color indexed="64"/>
      </bottom>
      <diagonal/>
    </border>
    <border>
      <left/>
      <right style="thin">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bottom style="thin">
        <color theme="0"/>
      </bottom>
      <diagonal/>
    </border>
    <border>
      <left style="thin">
        <color theme="0"/>
      </left>
      <right/>
      <top/>
      <bottom style="thin">
        <color theme="0"/>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theme="0"/>
      </left>
      <right style="thin">
        <color theme="0"/>
      </right>
      <top/>
      <bottom style="thin">
        <color theme="0"/>
      </bottom>
      <diagonal/>
    </border>
    <border>
      <left style="medium">
        <color indexed="64"/>
      </left>
      <right style="medium">
        <color indexed="64"/>
      </right>
      <top/>
      <bottom style="medium">
        <color indexed="64"/>
      </bottom>
      <diagonal/>
    </border>
    <border>
      <left/>
      <right/>
      <top style="thin">
        <color theme="0"/>
      </top>
      <bottom/>
      <diagonal/>
    </border>
    <border>
      <left/>
      <right style="medium">
        <color indexed="64"/>
      </right>
      <top style="thin">
        <color theme="0"/>
      </top>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thin">
        <color indexed="64"/>
      </bottom>
      <diagonal/>
    </border>
    <border>
      <left style="thin">
        <color indexed="64"/>
      </left>
      <right/>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auto="1"/>
      </left>
      <right style="medium">
        <color auto="1"/>
      </right>
      <top style="thin">
        <color auto="1"/>
      </top>
      <bottom style="medium">
        <color indexed="64"/>
      </bottom>
      <diagonal/>
    </border>
    <border>
      <left style="medium">
        <color auto="1"/>
      </left>
      <right style="medium">
        <color auto="1"/>
      </right>
      <top style="thin">
        <color auto="1"/>
      </top>
      <bottom style="thin">
        <color auto="1"/>
      </bottom>
      <diagonal/>
    </border>
    <border>
      <left style="medium">
        <color indexed="64"/>
      </left>
      <right style="thin">
        <color auto="1"/>
      </right>
      <top style="medium">
        <color auto="1"/>
      </top>
      <bottom style="medium">
        <color auto="1"/>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auto="1"/>
      </top>
      <bottom style="medium">
        <color auto="1"/>
      </bottom>
      <diagonal/>
    </border>
    <border>
      <left/>
      <right style="medium">
        <color indexed="64"/>
      </right>
      <top style="medium">
        <color auto="1"/>
      </top>
      <bottom style="medium">
        <color auto="1"/>
      </bottom>
      <diagonal/>
    </border>
    <border>
      <left style="medium">
        <color auto="1"/>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medium">
        <color indexed="64"/>
      </left>
      <right style="thin">
        <color theme="0"/>
      </right>
      <top style="thin">
        <color theme="0"/>
      </top>
      <bottom/>
      <diagonal/>
    </border>
    <border>
      <left style="thin">
        <color theme="0"/>
      </left>
      <right style="thin">
        <color theme="0"/>
      </right>
      <top style="thin">
        <color theme="0"/>
      </top>
      <bottom/>
      <diagonal/>
    </border>
    <border>
      <left/>
      <right style="thin">
        <color indexed="64"/>
      </right>
      <top style="thin">
        <color indexed="64"/>
      </top>
      <bottom style="thin">
        <color indexed="64"/>
      </bottom>
      <diagonal/>
    </border>
    <border>
      <left/>
      <right style="medium">
        <color indexed="64"/>
      </right>
      <top style="thin">
        <color theme="0"/>
      </top>
      <bottom style="thin">
        <color theme="0"/>
      </bottom>
      <diagonal/>
    </border>
    <border>
      <left style="thin">
        <color indexed="64"/>
      </left>
      <right/>
      <top/>
      <bottom style="thin">
        <color auto="1"/>
      </bottom>
      <diagonal/>
    </border>
    <border>
      <left style="thin">
        <color indexed="64"/>
      </left>
      <right style="thin">
        <color auto="1"/>
      </right>
      <top style="thin">
        <color indexed="64"/>
      </top>
      <bottom style="thin">
        <color auto="1"/>
      </bottom>
      <diagonal/>
    </border>
    <border>
      <left/>
      <right style="medium">
        <color indexed="64"/>
      </right>
      <top style="medium">
        <color auto="1"/>
      </top>
      <bottom style="medium">
        <color auto="1"/>
      </bottom>
      <diagonal/>
    </border>
    <border>
      <left style="thin">
        <color theme="0"/>
      </left>
      <right/>
      <top style="medium">
        <color indexed="64"/>
      </top>
      <bottom/>
      <diagonal/>
    </border>
    <border>
      <left/>
      <right style="medium">
        <color indexed="64"/>
      </right>
      <top style="medium">
        <color indexed="64"/>
      </top>
      <bottom/>
      <diagonal/>
    </border>
    <border>
      <left/>
      <right style="thin">
        <color theme="0"/>
      </right>
      <top/>
      <bottom/>
      <diagonal/>
    </border>
    <border>
      <left style="medium">
        <color indexed="64"/>
      </left>
      <right style="thin">
        <color theme="0"/>
      </right>
      <top/>
      <bottom style="thin">
        <color theme="0"/>
      </bottom>
      <diagonal/>
    </border>
    <border>
      <left style="thin">
        <color theme="0"/>
      </left>
      <right/>
      <top style="thin">
        <color theme="0"/>
      </top>
      <bottom/>
      <diagonal/>
    </border>
    <border>
      <left style="thin">
        <color indexed="64"/>
      </left>
      <right/>
      <top/>
      <bottom style="thin">
        <color auto="1"/>
      </bottom>
      <diagonal/>
    </border>
    <border>
      <left style="thin">
        <color indexed="64"/>
      </left>
      <right style="thin">
        <color indexed="64"/>
      </right>
      <top/>
      <bottom style="thin">
        <color auto="1"/>
      </bottom>
      <diagonal/>
    </border>
    <border>
      <left style="thin">
        <color indexed="64"/>
      </left>
      <right style="thin">
        <color auto="1"/>
      </right>
      <top style="thin">
        <color indexed="64"/>
      </top>
      <bottom style="thin">
        <color auto="1"/>
      </bottom>
      <diagonal/>
    </border>
    <border>
      <left style="medium">
        <color indexed="64"/>
      </left>
      <right style="thin">
        <color auto="1"/>
      </right>
      <top style="medium">
        <color auto="1"/>
      </top>
      <bottom style="medium">
        <color auto="1"/>
      </bottom>
      <diagonal/>
    </border>
    <border>
      <left/>
      <right style="medium">
        <color indexed="64"/>
      </right>
      <top style="medium">
        <color auto="1"/>
      </top>
      <bottom style="medium">
        <color auto="1"/>
      </bottom>
      <diagonal/>
    </border>
    <border>
      <left style="medium">
        <color auto="1"/>
      </left>
      <right/>
      <top style="medium">
        <color indexed="64"/>
      </top>
      <bottom style="medium">
        <color indexed="64"/>
      </bottom>
      <diagonal/>
    </border>
    <border>
      <left/>
      <right/>
      <top style="medium">
        <color indexed="64"/>
      </top>
      <bottom/>
      <diagonal/>
    </border>
  </borders>
  <cellStyleXfs count="1">
    <xf numFmtId="0" fontId="0" fillId="0" borderId="0"/>
  </cellStyleXfs>
  <cellXfs count="220">
    <xf numFmtId="0" fontId="0" fillId="0" borderId="0" xfId="0"/>
    <xf numFmtId="0" fontId="2" fillId="0" borderId="0" xfId="0" applyFont="1"/>
    <xf numFmtId="0" fontId="2" fillId="0" borderId="0" xfId="0" applyFont="1" applyAlignment="1">
      <alignment horizontal="left"/>
    </xf>
    <xf numFmtId="0" fontId="2" fillId="0" borderId="0" xfId="0" applyFont="1" applyBorder="1"/>
    <xf numFmtId="0" fontId="2" fillId="0" borderId="0" xfId="0" applyFont="1" applyFill="1" applyBorder="1"/>
    <xf numFmtId="0" fontId="2" fillId="0" borderId="0" xfId="0" applyFont="1" applyBorder="1" applyAlignment="1">
      <alignment horizontal="left" vertical="center"/>
    </xf>
    <xf numFmtId="0" fontId="2" fillId="4" borderId="11" xfId="0" applyFont="1" applyFill="1" applyBorder="1"/>
    <xf numFmtId="0" fontId="2" fillId="4" borderId="12" xfId="0" applyFont="1" applyFill="1" applyBorder="1"/>
    <xf numFmtId="0" fontId="3" fillId="0" borderId="0" xfId="0" applyFont="1" applyFill="1" applyBorder="1" applyAlignment="1">
      <alignment vertical="center" wrapText="1"/>
    </xf>
    <xf numFmtId="0" fontId="2" fillId="4" borderId="16" xfId="0" applyFont="1" applyFill="1" applyBorder="1"/>
    <xf numFmtId="0" fontId="2" fillId="4" borderId="17" xfId="0" applyFont="1" applyFill="1" applyBorder="1"/>
    <xf numFmtId="0" fontId="2" fillId="0" borderId="19" xfId="0" applyFont="1" applyBorder="1"/>
    <xf numFmtId="0" fontId="2" fillId="4" borderId="20" xfId="0" applyFont="1" applyFill="1" applyBorder="1"/>
    <xf numFmtId="0" fontId="2" fillId="0" borderId="18" xfId="0" applyFont="1" applyBorder="1" applyAlignment="1">
      <alignment horizontal="left" vertical="center"/>
    </xf>
    <xf numFmtId="0" fontId="2" fillId="0" borderId="19" xfId="0" applyFont="1" applyBorder="1" applyAlignment="1">
      <alignment horizontal="left" vertical="center"/>
    </xf>
    <xf numFmtId="164" fontId="2" fillId="0" borderId="14" xfId="0" applyNumberFormat="1" applyFont="1" applyBorder="1" applyAlignment="1">
      <alignment horizontal="left" vertical="center"/>
    </xf>
    <xf numFmtId="164" fontId="2" fillId="0" borderId="19" xfId="0" applyNumberFormat="1" applyFont="1" applyBorder="1" applyAlignment="1">
      <alignment horizontal="left" vertical="center"/>
    </xf>
    <xf numFmtId="164" fontId="8" fillId="0" borderId="5" xfId="0" applyNumberFormat="1" applyFont="1" applyBorder="1" applyAlignment="1">
      <alignment horizontal="right" vertical="center"/>
    </xf>
    <xf numFmtId="0" fontId="2" fillId="0" borderId="23" xfId="0" applyFont="1" applyBorder="1"/>
    <xf numFmtId="0" fontId="2" fillId="0" borderId="27" xfId="0" applyFont="1" applyBorder="1" applyAlignment="1">
      <alignment horizontal="left" vertical="center"/>
    </xf>
    <xf numFmtId="0" fontId="4" fillId="4" borderId="28" xfId="0" applyFont="1" applyFill="1" applyBorder="1" applyAlignment="1">
      <alignment vertical="top" wrapText="1"/>
    </xf>
    <xf numFmtId="0" fontId="4" fillId="4" borderId="29" xfId="0" applyFont="1" applyFill="1" applyBorder="1" applyAlignment="1">
      <alignment vertical="top" wrapText="1"/>
    </xf>
    <xf numFmtId="0" fontId="2" fillId="0" borderId="0" xfId="0" applyFont="1" applyBorder="1" applyAlignment="1">
      <alignment horizontal="center" vertical="center"/>
    </xf>
    <xf numFmtId="0" fontId="2" fillId="0" borderId="19" xfId="0" applyFont="1" applyBorder="1" applyAlignment="1">
      <alignment horizontal="left" vertical="center" wrapText="1"/>
    </xf>
    <xf numFmtId="0" fontId="8" fillId="0" borderId="0" xfId="0" applyFont="1" applyFill="1" applyBorder="1" applyAlignment="1">
      <alignment horizontal="center" vertical="center"/>
    </xf>
    <xf numFmtId="164" fontId="9" fillId="0" borderId="5" xfId="0" applyNumberFormat="1" applyFont="1" applyBorder="1" applyAlignment="1">
      <alignment horizontal="right" vertical="center"/>
    </xf>
    <xf numFmtId="0" fontId="8" fillId="0" borderId="23" xfId="0" applyFont="1" applyFill="1" applyBorder="1" applyAlignment="1">
      <alignment horizontal="center" vertical="center"/>
    </xf>
    <xf numFmtId="0" fontId="2" fillId="0" borderId="6" xfId="0" applyFont="1" applyBorder="1" applyAlignment="1">
      <alignment horizontal="left" vertical="center" wrapText="1"/>
    </xf>
    <xf numFmtId="0" fontId="2" fillId="0" borderId="32" xfId="0" applyFont="1" applyBorder="1" applyAlignment="1">
      <alignment horizontal="left" vertical="center"/>
    </xf>
    <xf numFmtId="0" fontId="4" fillId="4" borderId="19" xfId="0" applyFont="1" applyFill="1" applyBorder="1" applyAlignment="1">
      <alignment vertical="top"/>
    </xf>
    <xf numFmtId="0" fontId="2" fillId="0" borderId="23" xfId="0" applyFont="1" applyFill="1" applyBorder="1" applyAlignment="1">
      <alignment horizontal="left" vertical="center"/>
    </xf>
    <xf numFmtId="0" fontId="2" fillId="0" borderId="0" xfId="0" applyFont="1" applyFill="1" applyBorder="1" applyAlignment="1">
      <alignment horizontal="left" vertical="center"/>
    </xf>
    <xf numFmtId="0" fontId="2" fillId="4" borderId="35" xfId="0" applyFont="1" applyFill="1" applyBorder="1"/>
    <xf numFmtId="0" fontId="2" fillId="0" borderId="31" xfId="0" applyFont="1" applyBorder="1" applyAlignment="1">
      <alignment vertical="center"/>
    </xf>
    <xf numFmtId="0" fontId="2" fillId="0" borderId="31" xfId="0" applyFont="1" applyBorder="1" applyAlignment="1">
      <alignment horizontal="left" vertical="center"/>
    </xf>
    <xf numFmtId="0" fontId="2" fillId="0" borderId="0" xfId="0" applyFont="1" applyAlignment="1">
      <alignment vertical="center"/>
    </xf>
    <xf numFmtId="0" fontId="2" fillId="0" borderId="0" xfId="0" applyFont="1" applyFill="1" applyBorder="1" applyAlignment="1">
      <alignment vertical="center"/>
    </xf>
    <xf numFmtId="0" fontId="2" fillId="0" borderId="0" xfId="0" applyFont="1" applyBorder="1" applyAlignment="1">
      <alignment vertical="center"/>
    </xf>
    <xf numFmtId="0" fontId="2" fillId="0" borderId="23" xfId="0" applyFont="1" applyBorder="1" applyAlignment="1">
      <alignment vertical="center"/>
    </xf>
    <xf numFmtId="0" fontId="2" fillId="0" borderId="4" xfId="0" applyFont="1" applyFill="1" applyBorder="1" applyAlignment="1">
      <alignment vertical="center"/>
    </xf>
    <xf numFmtId="2" fontId="2" fillId="2" borderId="5" xfId="0" applyNumberFormat="1" applyFont="1" applyFill="1" applyBorder="1" applyAlignment="1">
      <alignment horizontal="right" vertical="center"/>
    </xf>
    <xf numFmtId="166" fontId="2" fillId="2" borderId="5" xfId="0" applyNumberFormat="1" applyFont="1" applyFill="1" applyBorder="1" applyAlignment="1">
      <alignment horizontal="right" vertical="center"/>
    </xf>
    <xf numFmtId="165" fontId="2" fillId="2" borderId="5" xfId="0" applyNumberFormat="1" applyFont="1" applyFill="1" applyBorder="1" applyAlignment="1">
      <alignment horizontal="right" vertical="center"/>
    </xf>
    <xf numFmtId="0" fontId="2" fillId="4" borderId="0" xfId="0" applyFont="1" applyFill="1" applyBorder="1"/>
    <xf numFmtId="0" fontId="2" fillId="0" borderId="0" xfId="0" applyFont="1" applyFill="1" applyBorder="1" applyAlignment="1"/>
    <xf numFmtId="0" fontId="2" fillId="0" borderId="0" xfId="0" applyFont="1" applyAlignment="1">
      <alignment horizontal="left" vertical="center"/>
    </xf>
    <xf numFmtId="0" fontId="2" fillId="0" borderId="41" xfId="0" applyFont="1" applyBorder="1" applyAlignment="1">
      <alignment horizontal="left" vertical="center"/>
    </xf>
    <xf numFmtId="0" fontId="2" fillId="0" borderId="43" xfId="0" applyFont="1" applyBorder="1" applyAlignment="1">
      <alignment horizontal="left" vertical="center"/>
    </xf>
    <xf numFmtId="0" fontId="2" fillId="0" borderId="44" xfId="0" applyFont="1" applyBorder="1" applyAlignment="1">
      <alignment horizontal="left" vertical="center"/>
    </xf>
    <xf numFmtId="0" fontId="2" fillId="2" borderId="18" xfId="0" applyFont="1" applyFill="1" applyBorder="1" applyAlignment="1">
      <alignment horizontal="right" vertical="center"/>
    </xf>
    <xf numFmtId="0" fontId="3" fillId="7" borderId="31" xfId="0" applyFont="1" applyFill="1" applyBorder="1" applyAlignment="1">
      <alignment horizontal="center" vertical="center"/>
    </xf>
    <xf numFmtId="0" fontId="2" fillId="0" borderId="0" xfId="0" applyFont="1" applyBorder="1" applyAlignment="1"/>
    <xf numFmtId="15" fontId="2" fillId="0" borderId="0" xfId="0" applyNumberFormat="1" applyFont="1"/>
    <xf numFmtId="0" fontId="12" fillId="0" borderId="0" xfId="0" applyFont="1"/>
    <xf numFmtId="164" fontId="0" fillId="0" borderId="0" xfId="0" applyNumberFormat="1"/>
    <xf numFmtId="2" fontId="0" fillId="0" borderId="0" xfId="0" applyNumberFormat="1"/>
    <xf numFmtId="0" fontId="0" fillId="0" borderId="0" xfId="0" applyAlignment="1">
      <alignment horizontal="left"/>
    </xf>
    <xf numFmtId="164" fontId="0" fillId="0" borderId="51" xfId="0" applyNumberFormat="1" applyBorder="1" applyAlignment="1">
      <alignment horizontal="center"/>
    </xf>
    <xf numFmtId="2" fontId="0" fillId="0" borderId="0" xfId="0" applyNumberFormat="1" applyAlignment="1">
      <alignment horizontal="center"/>
    </xf>
    <xf numFmtId="0" fontId="0" fillId="0" borderId="0" xfId="0" applyAlignment="1">
      <alignment horizontal="center"/>
    </xf>
    <xf numFmtId="164" fontId="0" fillId="0" borderId="52" xfId="0" applyNumberFormat="1" applyBorder="1" applyAlignment="1">
      <alignment horizontal="center"/>
    </xf>
    <xf numFmtId="0" fontId="0" fillId="0" borderId="51" xfId="0" applyBorder="1" applyAlignment="1">
      <alignment horizontal="center"/>
    </xf>
    <xf numFmtId="0" fontId="0" fillId="0" borderId="52" xfId="0" applyBorder="1" applyAlignment="1">
      <alignment horizontal="center"/>
    </xf>
    <xf numFmtId="0" fontId="0" fillId="0" borderId="8" xfId="0" applyBorder="1" applyAlignment="1">
      <alignment horizontal="center"/>
    </xf>
    <xf numFmtId="0" fontId="0" fillId="0" borderId="5" xfId="0" applyBorder="1" applyAlignment="1">
      <alignment horizontal="right"/>
    </xf>
    <xf numFmtId="0" fontId="0" fillId="0" borderId="44" xfId="0" applyBorder="1" applyAlignment="1">
      <alignment horizontal="right"/>
    </xf>
    <xf numFmtId="0" fontId="0" fillId="0" borderId="24" xfId="0" applyBorder="1" applyAlignment="1">
      <alignment horizontal="right"/>
    </xf>
    <xf numFmtId="0" fontId="0" fillId="0" borderId="54" xfId="0" applyBorder="1" applyAlignment="1">
      <alignment horizontal="right"/>
    </xf>
    <xf numFmtId="0" fontId="0" fillId="0" borderId="55" xfId="0" applyBorder="1" applyAlignment="1">
      <alignment horizontal="right"/>
    </xf>
    <xf numFmtId="1" fontId="0" fillId="0" borderId="0" xfId="0" applyNumberFormat="1" applyAlignment="1">
      <alignment horizontal="left" vertical="center"/>
    </xf>
    <xf numFmtId="2" fontId="0" fillId="0" borderId="0" xfId="0" applyNumberFormat="1" applyAlignment="1">
      <alignment horizontal="left" vertical="center"/>
    </xf>
    <xf numFmtId="164" fontId="0" fillId="0" borderId="0" xfId="0" applyNumberFormat="1" applyAlignment="1">
      <alignment horizontal="left" vertical="center"/>
    </xf>
    <xf numFmtId="165" fontId="0" fillId="0" borderId="0" xfId="0" applyNumberFormat="1" applyAlignment="1">
      <alignment horizontal="left" vertical="center"/>
    </xf>
    <xf numFmtId="0" fontId="0" fillId="0" borderId="0" xfId="0" applyAlignment="1">
      <alignment horizontal="left" vertical="center"/>
    </xf>
    <xf numFmtId="0" fontId="2" fillId="0" borderId="4" xfId="0" applyFont="1" applyBorder="1" applyAlignment="1">
      <alignment vertical="center"/>
    </xf>
    <xf numFmtId="0" fontId="2" fillId="0" borderId="7" xfId="0" applyFont="1" applyBorder="1" applyAlignment="1">
      <alignment horizontal="left" vertical="center" wrapText="1"/>
    </xf>
    <xf numFmtId="0" fontId="2" fillId="2" borderId="5" xfId="0" applyFont="1" applyFill="1" applyBorder="1" applyAlignment="1">
      <alignment vertical="center"/>
    </xf>
    <xf numFmtId="0" fontId="2" fillId="0" borderId="6" xfId="0" applyFont="1" applyBorder="1" applyAlignment="1">
      <alignment vertical="center" wrapText="1"/>
    </xf>
    <xf numFmtId="0" fontId="2" fillId="0" borderId="3" xfId="0" applyFont="1" applyBorder="1" applyAlignment="1">
      <alignment vertical="center"/>
    </xf>
    <xf numFmtId="0" fontId="2" fillId="2" borderId="2" xfId="0" applyFont="1" applyFill="1" applyBorder="1" applyAlignment="1">
      <alignment vertical="center"/>
    </xf>
    <xf numFmtId="0" fontId="2" fillId="0" borderId="1" xfId="0" applyFont="1" applyBorder="1" applyAlignment="1">
      <alignment vertical="center"/>
    </xf>
    <xf numFmtId="0" fontId="2" fillId="0" borderId="49" xfId="0" applyFont="1" applyFill="1" applyBorder="1" applyAlignment="1">
      <alignment horizontal="center" vertical="center"/>
    </xf>
    <xf numFmtId="0" fontId="2" fillId="0" borderId="9" xfId="0" applyFont="1" applyBorder="1" applyAlignment="1">
      <alignment horizontal="center" vertical="center"/>
    </xf>
    <xf numFmtId="0" fontId="2" fillId="0" borderId="19" xfId="0" applyFont="1" applyBorder="1" applyAlignment="1">
      <alignment vertical="center"/>
    </xf>
    <xf numFmtId="164" fontId="5" fillId="0" borderId="5" xfId="0" applyNumberFormat="1" applyFont="1" applyBorder="1" applyAlignment="1">
      <alignment vertical="center"/>
    </xf>
    <xf numFmtId="0" fontId="2" fillId="0" borderId="18" xfId="0" applyFont="1" applyBorder="1" applyAlignment="1">
      <alignment vertical="center"/>
    </xf>
    <xf numFmtId="0" fontId="2" fillId="0" borderId="14" xfId="0" applyFont="1" applyBorder="1" applyAlignment="1">
      <alignment vertical="center"/>
    </xf>
    <xf numFmtId="164" fontId="5" fillId="0" borderId="2" xfId="0" applyNumberFormat="1" applyFont="1" applyBorder="1" applyAlignment="1">
      <alignment vertical="center"/>
    </xf>
    <xf numFmtId="0" fontId="2" fillId="0" borderId="15" xfId="0" applyFont="1" applyBorder="1" applyAlignment="1">
      <alignment vertical="center"/>
    </xf>
    <xf numFmtId="0" fontId="3" fillId="7" borderId="33" xfId="0" applyFont="1" applyFill="1" applyBorder="1" applyAlignment="1">
      <alignment horizontal="center" vertical="center"/>
    </xf>
    <xf numFmtId="0" fontId="2" fillId="0" borderId="21" xfId="0" applyFont="1" applyBorder="1" applyAlignment="1">
      <alignment vertical="center"/>
    </xf>
    <xf numFmtId="0" fontId="2" fillId="0" borderId="7" xfId="0" applyFont="1" applyBorder="1" applyAlignment="1">
      <alignment vertical="center"/>
    </xf>
    <xf numFmtId="0" fontId="2" fillId="0" borderId="42" xfId="0" applyFont="1" applyBorder="1" applyAlignment="1">
      <alignment vertical="center"/>
    </xf>
    <xf numFmtId="0" fontId="2" fillId="0" borderId="40" xfId="0" applyFont="1" applyBorder="1" applyAlignment="1">
      <alignment vertical="center"/>
    </xf>
    <xf numFmtId="0" fontId="2" fillId="0" borderId="39" xfId="0" applyFont="1" applyBorder="1" applyAlignment="1">
      <alignment vertical="center"/>
    </xf>
    <xf numFmtId="0" fontId="2" fillId="0" borderId="32" xfId="0" applyFont="1" applyBorder="1" applyAlignment="1">
      <alignment vertical="center"/>
    </xf>
    <xf numFmtId="164" fontId="2" fillId="0" borderId="0" xfId="0" applyNumberFormat="1" applyFont="1" applyFill="1" applyBorder="1" applyAlignment="1">
      <alignment vertical="center"/>
    </xf>
    <xf numFmtId="0" fontId="2" fillId="0" borderId="26" xfId="0" applyFont="1" applyBorder="1" applyAlignment="1">
      <alignment vertical="center"/>
    </xf>
    <xf numFmtId="0" fontId="2" fillId="0" borderId="25" xfId="0" applyFont="1" applyBorder="1" applyAlignment="1">
      <alignment vertical="center"/>
    </xf>
    <xf numFmtId="0" fontId="2" fillId="0" borderId="22" xfId="0" applyFont="1" applyBorder="1" applyAlignment="1">
      <alignment vertical="center"/>
    </xf>
    <xf numFmtId="0" fontId="2" fillId="0" borderId="21" xfId="0" applyFont="1" applyFill="1" applyBorder="1" applyAlignment="1">
      <alignment vertical="center"/>
    </xf>
    <xf numFmtId="0" fontId="2" fillId="0" borderId="1" xfId="0" applyFont="1" applyFill="1" applyBorder="1" applyAlignment="1">
      <alignment vertical="center"/>
    </xf>
    <xf numFmtId="0" fontId="2" fillId="0" borderId="9" xfId="0" applyFont="1" applyFill="1" applyBorder="1" applyAlignment="1">
      <alignment horizontal="left" vertical="center"/>
    </xf>
    <xf numFmtId="0" fontId="3" fillId="0" borderId="0" xfId="0" applyFont="1"/>
    <xf numFmtId="0" fontId="16" fillId="0" borderId="0" xfId="0" applyFont="1"/>
    <xf numFmtId="0" fontId="17" fillId="0" borderId="0" xfId="0" applyFont="1"/>
    <xf numFmtId="0" fontId="17" fillId="10" borderId="59" xfId="0" applyFont="1" applyFill="1" applyBorder="1"/>
    <xf numFmtId="0" fontId="17" fillId="10" borderId="50" xfId="0" applyFont="1" applyFill="1" applyBorder="1"/>
    <xf numFmtId="0" fontId="16" fillId="0" borderId="0" xfId="0" applyFont="1" applyBorder="1"/>
    <xf numFmtId="0" fontId="0" fillId="0" borderId="0" xfId="0" applyBorder="1"/>
    <xf numFmtId="0" fontId="3" fillId="5" borderId="53" xfId="0" applyFont="1" applyFill="1" applyBorder="1" applyAlignment="1">
      <alignment horizontal="center" vertical="center"/>
    </xf>
    <xf numFmtId="0" fontId="3" fillId="5" borderId="56" xfId="0" applyFont="1" applyFill="1" applyBorder="1" applyAlignment="1">
      <alignment horizontal="center" vertical="center"/>
    </xf>
    <xf numFmtId="0" fontId="3" fillId="7" borderId="10" xfId="0" applyFont="1" applyFill="1" applyBorder="1" applyAlignment="1">
      <alignment horizontal="center" vertical="center"/>
    </xf>
    <xf numFmtId="0" fontId="3" fillId="7" borderId="57" xfId="0" applyFont="1" applyFill="1" applyBorder="1" applyAlignment="1">
      <alignment horizontal="center" vertical="center"/>
    </xf>
    <xf numFmtId="0" fontId="2" fillId="2" borderId="44" xfId="0" applyFont="1" applyFill="1" applyBorder="1" applyAlignment="1">
      <alignment horizontal="right" vertical="center"/>
    </xf>
    <xf numFmtId="0" fontId="2" fillId="0" borderId="60" xfId="0" applyFont="1" applyBorder="1" applyAlignment="1">
      <alignment horizontal="center" vertical="center"/>
    </xf>
    <xf numFmtId="0" fontId="17" fillId="10" borderId="21" xfId="0" applyFont="1" applyFill="1" applyBorder="1"/>
    <xf numFmtId="15" fontId="17" fillId="10" borderId="21" xfId="0" applyNumberFormat="1" applyFont="1" applyFill="1" applyBorder="1"/>
    <xf numFmtId="164" fontId="9" fillId="0" borderId="7" xfId="0" applyNumberFormat="1" applyFont="1" applyBorder="1" applyAlignment="1">
      <alignment horizontal="right" vertical="center"/>
    </xf>
    <xf numFmtId="164" fontId="19" fillId="4" borderId="57" xfId="0" applyNumberFormat="1" applyFont="1" applyFill="1" applyBorder="1" applyAlignment="1">
      <alignment horizontal="right" vertical="center"/>
    </xf>
    <xf numFmtId="0" fontId="2" fillId="4" borderId="61" xfId="0" applyFont="1" applyFill="1" applyBorder="1"/>
    <xf numFmtId="0" fontId="2" fillId="4" borderId="62" xfId="0" applyFont="1" applyFill="1" applyBorder="1"/>
    <xf numFmtId="0" fontId="2" fillId="4" borderId="63" xfId="0" applyFont="1" applyFill="1" applyBorder="1"/>
    <xf numFmtId="0" fontId="2" fillId="0" borderId="19" xfId="0" applyFont="1" applyFill="1" applyBorder="1" applyAlignment="1">
      <alignment horizontal="left" vertical="center"/>
    </xf>
    <xf numFmtId="165" fontId="9" fillId="0" borderId="5" xfId="0" applyNumberFormat="1" applyFont="1" applyBorder="1" applyAlignment="1">
      <alignment horizontal="right" vertical="center"/>
    </xf>
    <xf numFmtId="0" fontId="2" fillId="4" borderId="65" xfId="0" applyFont="1" applyFill="1" applyBorder="1"/>
    <xf numFmtId="0" fontId="4" fillId="4" borderId="62" xfId="0" applyFont="1" applyFill="1" applyBorder="1"/>
    <xf numFmtId="0" fontId="4" fillId="4" borderId="19" xfId="0" applyFont="1" applyFill="1" applyBorder="1" applyAlignment="1">
      <alignment vertical="top" wrapText="1"/>
    </xf>
    <xf numFmtId="0" fontId="4" fillId="4" borderId="71" xfId="0" applyFont="1" applyFill="1" applyBorder="1" applyAlignment="1">
      <alignment vertical="top" wrapText="1"/>
    </xf>
    <xf numFmtId="0" fontId="2" fillId="0" borderId="4" xfId="0" applyFont="1" applyBorder="1"/>
    <xf numFmtId="0" fontId="2" fillId="4" borderId="72" xfId="0" applyFont="1" applyFill="1" applyBorder="1"/>
    <xf numFmtId="0" fontId="2" fillId="4" borderId="29" xfId="0" applyFont="1" applyFill="1" applyBorder="1"/>
    <xf numFmtId="0" fontId="2" fillId="4" borderId="73" xfId="0" applyFont="1" applyFill="1" applyBorder="1"/>
    <xf numFmtId="0" fontId="0" fillId="0" borderId="67" xfId="0" applyBorder="1" applyAlignment="1">
      <alignment horizontal="right"/>
    </xf>
    <xf numFmtId="0" fontId="0" fillId="0" borderId="75" xfId="0" applyBorder="1" applyAlignment="1">
      <alignment horizontal="right"/>
    </xf>
    <xf numFmtId="0" fontId="0" fillId="0" borderId="74" xfId="0" applyBorder="1" applyAlignment="1">
      <alignment horizontal="right"/>
    </xf>
    <xf numFmtId="0" fontId="0" fillId="0" borderId="78" xfId="0" applyBorder="1" applyAlignment="1">
      <alignment horizontal="right"/>
    </xf>
    <xf numFmtId="0" fontId="0" fillId="0" borderId="76" xfId="0" applyBorder="1" applyAlignment="1">
      <alignment horizontal="center"/>
    </xf>
    <xf numFmtId="0" fontId="0" fillId="9" borderId="66" xfId="0" applyFill="1" applyBorder="1" applyAlignment="1">
      <alignment horizontal="center"/>
    </xf>
    <xf numFmtId="0" fontId="1" fillId="8" borderId="77" xfId="0" applyFont="1" applyFill="1" applyBorder="1" applyAlignment="1">
      <alignment horizontal="right"/>
    </xf>
    <xf numFmtId="2" fontId="23" fillId="0" borderId="0" xfId="0" applyNumberFormat="1" applyFont="1" applyBorder="1" applyAlignment="1">
      <alignment vertical="center"/>
    </xf>
    <xf numFmtId="2" fontId="23" fillId="0" borderId="31" xfId="0" applyNumberFormat="1" applyFont="1" applyBorder="1" applyAlignment="1">
      <alignment vertical="center"/>
    </xf>
    <xf numFmtId="164" fontId="23" fillId="0" borderId="0" xfId="0" applyNumberFormat="1" applyFont="1" applyBorder="1" applyAlignment="1">
      <alignment vertical="center"/>
    </xf>
    <xf numFmtId="164" fontId="23" fillId="0" borderId="0" xfId="0" applyNumberFormat="1" applyFont="1" applyAlignment="1">
      <alignment vertical="center"/>
    </xf>
    <xf numFmtId="164" fontId="23" fillId="0" borderId="32" xfId="0" applyNumberFormat="1" applyFont="1" applyBorder="1" applyAlignment="1">
      <alignment vertical="center"/>
    </xf>
    <xf numFmtId="164" fontId="24" fillId="0" borderId="0" xfId="0" applyNumberFormat="1" applyFont="1" applyBorder="1" applyAlignment="1">
      <alignment vertical="center"/>
    </xf>
    <xf numFmtId="164" fontId="1" fillId="0" borderId="31" xfId="0" applyNumberFormat="1" applyFont="1" applyBorder="1" applyAlignment="1">
      <alignment vertical="center"/>
    </xf>
    <xf numFmtId="164" fontId="0" fillId="0" borderId="0" xfId="0" applyNumberFormat="1" applyFont="1" applyFill="1" applyBorder="1" applyAlignment="1">
      <alignment vertical="center"/>
    </xf>
    <xf numFmtId="164" fontId="23" fillId="0" borderId="31" xfId="0" applyNumberFormat="1" applyFont="1" applyBorder="1" applyAlignment="1">
      <alignment vertical="center"/>
    </xf>
    <xf numFmtId="164" fontId="23" fillId="0" borderId="26" xfId="0" applyNumberFormat="1" applyFont="1" applyBorder="1" applyAlignment="1">
      <alignment vertical="center"/>
    </xf>
    <xf numFmtId="164" fontId="23" fillId="0" borderId="21" xfId="0" applyNumberFormat="1" applyFont="1" applyBorder="1" applyAlignment="1">
      <alignment vertical="center"/>
    </xf>
    <xf numFmtId="0" fontId="23" fillId="0" borderId="0" xfId="0" applyFont="1" applyAlignment="1">
      <alignment vertical="center"/>
    </xf>
    <xf numFmtId="0" fontId="23" fillId="0" borderId="0" xfId="0" applyFont="1" applyFill="1" applyBorder="1" applyAlignment="1">
      <alignment vertical="center"/>
    </xf>
    <xf numFmtId="0" fontId="25" fillId="0" borderId="0" xfId="0" applyFont="1" applyBorder="1"/>
    <xf numFmtId="0" fontId="25" fillId="0" borderId="0" xfId="0" applyFont="1"/>
    <xf numFmtId="0" fontId="17" fillId="0" borderId="59" xfId="0" applyFont="1" applyBorder="1" applyAlignment="1">
      <alignment horizontal="left" vertical="center"/>
    </xf>
    <xf numFmtId="0" fontId="2" fillId="0" borderId="60" xfId="0" applyFont="1" applyFill="1" applyBorder="1" applyAlignment="1">
      <alignment horizontal="left" vertical="center"/>
    </xf>
    <xf numFmtId="2" fontId="2" fillId="2" borderId="77" xfId="0" applyNumberFormat="1" applyFont="1" applyFill="1" applyBorder="1" applyAlignment="1">
      <alignment horizontal="right" vertical="center"/>
    </xf>
    <xf numFmtId="0" fontId="2" fillId="0" borderId="9" xfId="0" applyFont="1" applyBorder="1" applyAlignment="1">
      <alignment horizontal="left" vertical="center" wrapText="1"/>
    </xf>
    <xf numFmtId="0" fontId="16" fillId="0" borderId="0" xfId="0" applyFont="1" applyAlignment="1">
      <alignment horizontal="left" wrapText="1"/>
    </xf>
    <xf numFmtId="0" fontId="25" fillId="0" borderId="80" xfId="0" applyFont="1" applyBorder="1" applyAlignment="1">
      <alignment horizontal="left"/>
    </xf>
    <xf numFmtId="0" fontId="25" fillId="0" borderId="0" xfId="0" applyFont="1" applyAlignment="1">
      <alignment horizontal="left"/>
    </xf>
    <xf numFmtId="0" fontId="4" fillId="4" borderId="59" xfId="0" applyFont="1" applyFill="1" applyBorder="1" applyAlignment="1">
      <alignment horizontal="left" vertical="top" wrapText="1"/>
    </xf>
    <xf numFmtId="0" fontId="4" fillId="4" borderId="50" xfId="0" applyFont="1" applyFill="1" applyBorder="1" applyAlignment="1">
      <alignment horizontal="left" vertical="top" wrapText="1"/>
    </xf>
    <xf numFmtId="0" fontId="4" fillId="4" borderId="58" xfId="0" applyFont="1" applyFill="1" applyBorder="1" applyAlignment="1">
      <alignment horizontal="left" vertical="top" wrapText="1"/>
    </xf>
    <xf numFmtId="0" fontId="3" fillId="5" borderId="48" xfId="0" applyFont="1" applyFill="1" applyBorder="1" applyAlignment="1">
      <alignment horizontal="center" vertical="center"/>
    </xf>
    <xf numFmtId="0" fontId="3" fillId="5" borderId="46" xfId="0" applyFont="1" applyFill="1" applyBorder="1" applyAlignment="1">
      <alignment horizontal="center" vertical="center"/>
    </xf>
    <xf numFmtId="0" fontId="3" fillId="5" borderId="34" xfId="0" applyFont="1" applyFill="1" applyBorder="1" applyAlignment="1">
      <alignment horizontal="center" vertical="center"/>
    </xf>
    <xf numFmtId="0" fontId="3" fillId="5" borderId="47" xfId="0" applyFont="1" applyFill="1" applyBorder="1" applyAlignment="1">
      <alignment horizontal="center" vertical="center"/>
    </xf>
    <xf numFmtId="0" fontId="3" fillId="5" borderId="45" xfId="0" applyFont="1" applyFill="1" applyBorder="1" applyAlignment="1">
      <alignment horizontal="center" vertical="center"/>
    </xf>
    <xf numFmtId="0" fontId="3" fillId="6" borderId="59" xfId="0" applyFont="1" applyFill="1" applyBorder="1" applyAlignment="1">
      <alignment horizontal="center" vertical="center"/>
    </xf>
    <xf numFmtId="0" fontId="3" fillId="6" borderId="50" xfId="0" applyFont="1" applyFill="1" applyBorder="1" applyAlignment="1">
      <alignment horizontal="center" vertical="center"/>
    </xf>
    <xf numFmtId="0" fontId="3" fillId="6" borderId="58" xfId="0" applyFont="1" applyFill="1" applyBorder="1" applyAlignment="1">
      <alignment horizontal="center" vertical="center"/>
    </xf>
    <xf numFmtId="0" fontId="3" fillId="5" borderId="24" xfId="0" applyFont="1" applyFill="1" applyBorder="1" applyAlignment="1">
      <alignment horizontal="center" vertical="center" wrapText="1"/>
    </xf>
    <xf numFmtId="0" fontId="3" fillId="5" borderId="5" xfId="0" applyFont="1" applyFill="1" applyBorder="1" applyAlignment="1">
      <alignment horizontal="center" vertical="center" wrapText="1"/>
    </xf>
    <xf numFmtId="0" fontId="3" fillId="5" borderId="2" xfId="0" applyFont="1" applyFill="1" applyBorder="1" applyAlignment="1">
      <alignment horizontal="center" vertical="center" wrapText="1"/>
    </xf>
    <xf numFmtId="0" fontId="3" fillId="5" borderId="30" xfId="0" applyFont="1" applyFill="1" applyBorder="1" applyAlignment="1">
      <alignment horizontal="center" vertical="center" wrapText="1"/>
    </xf>
    <xf numFmtId="0" fontId="4" fillId="4" borderId="55" xfId="0" applyFont="1" applyFill="1" applyBorder="1" applyAlignment="1">
      <alignment horizontal="left" vertical="top"/>
    </xf>
    <xf numFmtId="0" fontId="4" fillId="4" borderId="64" xfId="0" applyFont="1" applyFill="1" applyBorder="1" applyAlignment="1">
      <alignment horizontal="left" vertical="top"/>
    </xf>
    <xf numFmtId="0" fontId="4" fillId="4" borderId="55" xfId="0" applyFont="1" applyFill="1" applyBorder="1" applyAlignment="1">
      <alignment horizontal="left" vertical="center"/>
    </xf>
    <xf numFmtId="0" fontId="4" fillId="4" borderId="26" xfId="0" applyFont="1" applyFill="1" applyBorder="1" applyAlignment="1">
      <alignment horizontal="left" vertical="center"/>
    </xf>
    <xf numFmtId="0" fontId="4" fillId="4" borderId="64" xfId="0" applyFont="1" applyFill="1" applyBorder="1" applyAlignment="1">
      <alignment horizontal="left" vertical="center"/>
    </xf>
    <xf numFmtId="0" fontId="4" fillId="4" borderId="14" xfId="0" applyFont="1" applyFill="1" applyBorder="1" applyAlignment="1">
      <alignment horizontal="left" vertical="center" wrapText="1"/>
    </xf>
    <xf numFmtId="0" fontId="4" fillId="4" borderId="13" xfId="0" applyFont="1" applyFill="1" applyBorder="1" applyAlignment="1">
      <alignment horizontal="left" vertical="center" wrapText="1"/>
    </xf>
    <xf numFmtId="0" fontId="4" fillId="4" borderId="55" xfId="0" applyFont="1" applyFill="1" applyBorder="1" applyAlignment="1">
      <alignment horizontal="left" vertical="center" wrapText="1"/>
    </xf>
    <xf numFmtId="0" fontId="4" fillId="4" borderId="26" xfId="0" applyFont="1" applyFill="1" applyBorder="1" applyAlignment="1">
      <alignment horizontal="left" vertical="center" wrapText="1"/>
    </xf>
    <xf numFmtId="0" fontId="4" fillId="4" borderId="64" xfId="0" applyFont="1" applyFill="1" applyBorder="1" applyAlignment="1">
      <alignment horizontal="left" vertical="center" wrapText="1"/>
    </xf>
    <xf numFmtId="0" fontId="3" fillId="3" borderId="10" xfId="0" applyFont="1" applyFill="1" applyBorder="1" applyAlignment="1">
      <alignment horizontal="center" vertical="center"/>
    </xf>
    <xf numFmtId="0" fontId="3" fillId="3" borderId="4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49" xfId="0" applyFont="1" applyFill="1" applyBorder="1" applyAlignment="1">
      <alignment horizontal="center" vertical="center"/>
    </xf>
    <xf numFmtId="0" fontId="11" fillId="6" borderId="10" xfId="0" applyFont="1" applyFill="1" applyBorder="1" applyAlignment="1">
      <alignment horizontal="center" vertical="center"/>
    </xf>
    <xf numFmtId="0" fontId="11" fillId="6" borderId="50" xfId="0" applyFont="1" applyFill="1" applyBorder="1" applyAlignment="1">
      <alignment horizontal="center" vertical="center"/>
    </xf>
    <xf numFmtId="0" fontId="11" fillId="6" borderId="49" xfId="0" applyFont="1" applyFill="1" applyBorder="1" applyAlignment="1">
      <alignment horizontal="center" vertical="center"/>
    </xf>
    <xf numFmtId="0" fontId="4" fillId="4" borderId="37" xfId="0" applyFont="1" applyFill="1" applyBorder="1" applyAlignment="1">
      <alignment horizontal="right" vertical="top" wrapText="1"/>
    </xf>
    <xf numFmtId="0" fontId="4" fillId="4" borderId="38" xfId="0" applyFont="1" applyFill="1" applyBorder="1" applyAlignment="1">
      <alignment horizontal="right" vertical="top" wrapText="1"/>
    </xf>
    <xf numFmtId="0" fontId="4" fillId="4" borderId="0" xfId="0" applyFont="1" applyFill="1" applyBorder="1" applyAlignment="1">
      <alignment horizontal="right" vertical="top" wrapText="1"/>
    </xf>
    <xf numFmtId="0" fontId="4" fillId="4" borderId="4" xfId="0" applyFont="1" applyFill="1" applyBorder="1" applyAlignment="1">
      <alignment horizontal="right" vertical="top" wrapText="1"/>
    </xf>
    <xf numFmtId="0" fontId="3" fillId="6" borderId="23"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0" borderId="19" xfId="0" applyFont="1" applyFill="1" applyBorder="1" applyAlignment="1">
      <alignment horizontal="center" vertical="center"/>
    </xf>
    <xf numFmtId="0" fontId="8" fillId="0" borderId="4" xfId="0" applyFont="1" applyFill="1" applyBorder="1" applyAlignment="1">
      <alignment horizontal="center" vertical="center"/>
    </xf>
    <xf numFmtId="0" fontId="8" fillId="0" borderId="14" xfId="0" applyFont="1" applyFill="1" applyBorder="1" applyAlignment="1">
      <alignment horizontal="center" vertical="center"/>
    </xf>
    <xf numFmtId="0" fontId="8" fillId="0" borderId="1" xfId="0" applyFont="1" applyFill="1" applyBorder="1" applyAlignment="1">
      <alignment horizontal="center" vertical="center"/>
    </xf>
    <xf numFmtId="0" fontId="4" fillId="4" borderId="69" xfId="0" applyFont="1" applyFill="1" applyBorder="1" applyAlignment="1">
      <alignment horizontal="left" vertical="top" wrapText="1"/>
    </xf>
    <xf numFmtId="0" fontId="4" fillId="4" borderId="70" xfId="0" applyFont="1" applyFill="1" applyBorder="1" applyAlignment="1">
      <alignment horizontal="left" vertical="top" wrapText="1"/>
    </xf>
    <xf numFmtId="0" fontId="4" fillId="4" borderId="29" xfId="0" applyFont="1" applyFill="1" applyBorder="1" applyAlignment="1">
      <alignment horizontal="left" vertical="top" wrapText="1"/>
    </xf>
    <xf numFmtId="0" fontId="4" fillId="4" borderId="28" xfId="0" applyFont="1" applyFill="1" applyBorder="1" applyAlignment="1">
      <alignment horizontal="left" vertical="top" wrapText="1"/>
    </xf>
    <xf numFmtId="0" fontId="4" fillId="4" borderId="54" xfId="0" applyFont="1" applyFill="1" applyBorder="1" applyAlignment="1">
      <alignment horizontal="left" vertical="center" wrapText="1"/>
    </xf>
    <xf numFmtId="0" fontId="4" fillId="4" borderId="32" xfId="0" applyFont="1" applyFill="1" applyBorder="1" applyAlignment="1">
      <alignment horizontal="left" vertical="center" wrapText="1"/>
    </xf>
    <xf numFmtId="0" fontId="4" fillId="4" borderId="66" xfId="0" applyFont="1" applyFill="1" applyBorder="1" applyAlignment="1">
      <alignment horizontal="left" vertical="center" wrapText="1"/>
    </xf>
    <xf numFmtId="0" fontId="4" fillId="4" borderId="31" xfId="0" applyFont="1" applyFill="1" applyBorder="1" applyAlignment="1">
      <alignment horizontal="left" vertical="center" wrapText="1"/>
    </xf>
    <xf numFmtId="0" fontId="4" fillId="4" borderId="54" xfId="0" applyFont="1" applyFill="1" applyBorder="1" applyAlignment="1">
      <alignment horizontal="left" vertical="top" wrapText="1"/>
    </xf>
    <xf numFmtId="0" fontId="4" fillId="4" borderId="25" xfId="0" applyFont="1" applyFill="1" applyBorder="1" applyAlignment="1">
      <alignment horizontal="left" vertical="top" wrapText="1"/>
    </xf>
    <xf numFmtId="0" fontId="4" fillId="4" borderId="44" xfId="0" applyFont="1" applyFill="1" applyBorder="1" applyAlignment="1">
      <alignment horizontal="left" vertical="top" wrapText="1"/>
    </xf>
    <xf numFmtId="0" fontId="4" fillId="4" borderId="7" xfId="0" applyFont="1" applyFill="1" applyBorder="1" applyAlignment="1">
      <alignment horizontal="left" vertical="top" wrapText="1"/>
    </xf>
    <xf numFmtId="0" fontId="4" fillId="4" borderId="66" xfId="0" applyFont="1" applyFill="1" applyBorder="1" applyAlignment="1">
      <alignment horizontal="left" vertical="top" wrapText="1"/>
    </xf>
    <xf numFmtId="0" fontId="4" fillId="4" borderId="42" xfId="0" applyFont="1" applyFill="1" applyBorder="1" applyAlignment="1">
      <alignment horizontal="left" vertical="top" wrapText="1"/>
    </xf>
    <xf numFmtId="0" fontId="0" fillId="0" borderId="79" xfId="0" applyBorder="1" applyAlignment="1">
      <alignment horizontal="center"/>
    </xf>
    <xf numFmtId="0" fontId="0" fillId="0" borderId="68" xfId="0" applyBorder="1" applyAlignment="1">
      <alignment horizontal="center"/>
    </xf>
  </cellXfs>
  <cellStyles count="1">
    <cellStyle name="Normal" xfId="0" builtinId="0"/>
  </cellStyles>
  <dxfs count="0"/>
  <tableStyles count="0" defaultTableStyle="TableStyleMedium2" defaultPivotStyle="PivotStyleLight16"/>
  <colors>
    <mruColors>
      <color rgb="FFFFA7A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K</a:t>
            </a:r>
            <a:r>
              <a:rPr lang="en-US" b="1" baseline="0">
                <a:solidFill>
                  <a:schemeClr val="tx1"/>
                </a:solidFill>
              </a:rPr>
              <a:t> vs Depth</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K vs Depth</c:v>
          </c:tx>
          <c:spPr>
            <a:ln w="19050" cap="rnd">
              <a:noFill/>
              <a:round/>
            </a:ln>
            <a:effectLst/>
          </c:spPr>
          <c:marker>
            <c:symbol val="none"/>
          </c:marker>
          <c:errBars>
            <c:errDir val="x"/>
            <c:errBarType val="minus"/>
            <c:errValType val="percentage"/>
            <c:noEndCap val="1"/>
            <c:val val="100"/>
            <c:spPr>
              <a:noFill/>
              <a:ln w="114300" cap="flat" cmpd="sng" algn="ctr">
                <a:solidFill>
                  <a:srgbClr val="00B0F0"/>
                </a:solidFill>
                <a:round/>
              </a:ln>
              <a:effectLst/>
            </c:spPr>
          </c:errBars>
          <c:xVal>
            <c:numRef>
              <c:f>'K-Distribution'!$C$7:$C$111</c:f>
              <c:numCache>
                <c:formatCode>General</c:formatCode>
                <c:ptCount val="10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0.19690755900656051</c:v>
                </c:pt>
                <c:pt idx="57">
                  <c:v>0.19690755900656051</c:v>
                </c:pt>
                <c:pt idx="58">
                  <c:v>0.19690755900656051</c:v>
                </c:pt>
                <c:pt idx="59">
                  <c:v>0.19690755900656051</c:v>
                </c:pt>
                <c:pt idx="60">
                  <c:v>0.19690755900656051</c:v>
                </c:pt>
                <c:pt idx="61">
                  <c:v>1.9690755900656051E-3</c:v>
                </c:pt>
                <c:pt idx="62">
                  <c:v>1.9690755900656051E-3</c:v>
                </c:pt>
                <c:pt idx="63">
                  <c:v>1.9690755900656051E-3</c:v>
                </c:pt>
                <c:pt idx="64">
                  <c:v>1.9690755900656051E-3</c:v>
                </c:pt>
                <c:pt idx="65">
                  <c:v>1.9690755900656051E-3</c:v>
                </c:pt>
                <c:pt idx="66">
                  <c:v>1.9690755900656051E-3</c:v>
                </c:pt>
                <c:pt idx="67">
                  <c:v>1.9690755900656051E-3</c:v>
                </c:pt>
                <c:pt idx="68">
                  <c:v>1.9690755900656051E-3</c:v>
                </c:pt>
                <c:pt idx="69">
                  <c:v>1.9690755900656051E-3</c:v>
                </c:pt>
                <c:pt idx="70">
                  <c:v>1.9690755900656051E-3</c:v>
                </c:pt>
                <c:pt idx="71">
                  <c:v>1.9690755900656051E-3</c:v>
                </c:pt>
                <c:pt idx="72">
                  <c:v>1.9690755900656051E-3</c:v>
                </c:pt>
                <c:pt idx="73">
                  <c:v>1.9690755900656051E-3</c:v>
                </c:pt>
                <c:pt idx="74">
                  <c:v>1.9690755900656051E-3</c:v>
                </c:pt>
                <c:pt idx="75">
                  <c:v>1.9690755900656051E-3</c:v>
                </c:pt>
                <c:pt idx="76">
                  <c:v>1.9690755900656051E-3</c:v>
                </c:pt>
                <c:pt idx="77">
                  <c:v>1.9690755900656051E-3</c:v>
                </c:pt>
                <c:pt idx="78">
                  <c:v>1.9690755900656051E-3</c:v>
                </c:pt>
                <c:pt idx="79">
                  <c:v>1.9690755900656051E-3</c:v>
                </c:pt>
                <c:pt idx="80">
                  <c:v>1.9690755900656051E-3</c:v>
                </c:pt>
                <c:pt idx="81">
                  <c:v>1.9690755900656051E-3</c:v>
                </c:pt>
                <c:pt idx="82">
                  <c:v>1.9690755900656051E-3</c:v>
                </c:pt>
                <c:pt idx="83">
                  <c:v>1.9690755900656051E-3</c:v>
                </c:pt>
                <c:pt idx="84">
                  <c:v>1.9690755900656051E-3</c:v>
                </c:pt>
                <c:pt idx="85">
                  <c:v>1.9690755900656051E-3</c:v>
                </c:pt>
                <c:pt idx="86">
                  <c:v>1.9690755900656051E-3</c:v>
                </c:pt>
                <c:pt idx="87">
                  <c:v>1.9690755900656051E-3</c:v>
                </c:pt>
                <c:pt idx="88">
                  <c:v>1.9690755900656051E-3</c:v>
                </c:pt>
                <c:pt idx="89">
                  <c:v>1.9690755900656051E-3</c:v>
                </c:pt>
                <c:pt idx="90">
                  <c:v>1.9690755900656051E-3</c:v>
                </c:pt>
                <c:pt idx="91">
                  <c:v>1.9690755900656051E-3</c:v>
                </c:pt>
                <c:pt idx="92">
                  <c:v>1.9690755900656051E-3</c:v>
                </c:pt>
                <c:pt idx="93">
                  <c:v>1.9690755900656051E-3</c:v>
                </c:pt>
                <c:pt idx="94">
                  <c:v>1.9690755900656051E-3</c:v>
                </c:pt>
                <c:pt idx="95">
                  <c:v>1.9690755900656051E-3</c:v>
                </c:pt>
                <c:pt idx="96">
                  <c:v>1.9690755900656051E-3</c:v>
                </c:pt>
                <c:pt idx="97">
                  <c:v>1.9690755900656051E-3</c:v>
                </c:pt>
                <c:pt idx="98">
                  <c:v>1.9690755900656051E-3</c:v>
                </c:pt>
                <c:pt idx="99">
                  <c:v>1.9690755900656051E-3</c:v>
                </c:pt>
                <c:pt idx="100">
                  <c:v>1.9690755900656051E-3</c:v>
                </c:pt>
                <c:pt idx="101">
                  <c:v>1.9690755900656051E-3</c:v>
                </c:pt>
                <c:pt idx="102">
                  <c:v>1.9690755900656051E-3</c:v>
                </c:pt>
                <c:pt idx="103">
                  <c:v>1.9690755900656051E-3</c:v>
                </c:pt>
                <c:pt idx="104">
                  <c:v>1.9690755900656051E-3</c:v>
                </c:pt>
              </c:numCache>
            </c:numRef>
          </c:xVal>
          <c:yVal>
            <c:numRef>
              <c:f>'K-Distribution'!$B$7:$B$111</c:f>
              <c:numCache>
                <c:formatCode>General</c:formatCode>
                <c:ptCount val="105"/>
                <c:pt idx="0">
                  <c:v>-11</c:v>
                </c:pt>
                <c:pt idx="1">
                  <c:v>-10.9</c:v>
                </c:pt>
                <c:pt idx="2">
                  <c:v>-10.700000000000001</c:v>
                </c:pt>
                <c:pt idx="3">
                  <c:v>-10.500000000000002</c:v>
                </c:pt>
                <c:pt idx="4">
                  <c:v>-10.300000000000002</c:v>
                </c:pt>
                <c:pt idx="5">
                  <c:v>-10.100000000000003</c:v>
                </c:pt>
                <c:pt idx="6">
                  <c:v>-9.9000000000000039</c:v>
                </c:pt>
                <c:pt idx="7">
                  <c:v>-9.7000000000000046</c:v>
                </c:pt>
                <c:pt idx="8">
                  <c:v>-9.5000000000000053</c:v>
                </c:pt>
                <c:pt idx="9">
                  <c:v>-9.300000000000006</c:v>
                </c:pt>
                <c:pt idx="10">
                  <c:v>-9.1000000000000068</c:v>
                </c:pt>
                <c:pt idx="11">
                  <c:v>-8.9000000000000075</c:v>
                </c:pt>
                <c:pt idx="12">
                  <c:v>-8.7000000000000082</c:v>
                </c:pt>
                <c:pt idx="13">
                  <c:v>-8.5000000000000089</c:v>
                </c:pt>
                <c:pt idx="14">
                  <c:v>-8.3000000000000096</c:v>
                </c:pt>
                <c:pt idx="15">
                  <c:v>-8.1000000000000103</c:v>
                </c:pt>
                <c:pt idx="16">
                  <c:v>-7.9000000000000101</c:v>
                </c:pt>
                <c:pt idx="17">
                  <c:v>-7.7000000000000099</c:v>
                </c:pt>
                <c:pt idx="18">
                  <c:v>-7.5000000000000098</c:v>
                </c:pt>
                <c:pt idx="19">
                  <c:v>-7.3000000000000096</c:v>
                </c:pt>
                <c:pt idx="20">
                  <c:v>-7.1000000000000094</c:v>
                </c:pt>
                <c:pt idx="21">
                  <c:v>-6.9000000000000092</c:v>
                </c:pt>
                <c:pt idx="22">
                  <c:v>-6.7000000000000091</c:v>
                </c:pt>
                <c:pt idx="23">
                  <c:v>-6.5000000000000089</c:v>
                </c:pt>
                <c:pt idx="24">
                  <c:v>-6.3000000000000087</c:v>
                </c:pt>
                <c:pt idx="25">
                  <c:v>-6.1000000000000085</c:v>
                </c:pt>
                <c:pt idx="26">
                  <c:v>-5.9000000000000083</c:v>
                </c:pt>
                <c:pt idx="27">
                  <c:v>-5.7000000000000082</c:v>
                </c:pt>
                <c:pt idx="28">
                  <c:v>-5.500000000000008</c:v>
                </c:pt>
                <c:pt idx="29">
                  <c:v>-5.3000000000000078</c:v>
                </c:pt>
                <c:pt idx="30">
                  <c:v>-5.1000000000000076</c:v>
                </c:pt>
                <c:pt idx="31">
                  <c:v>-4.9000000000000075</c:v>
                </c:pt>
                <c:pt idx="32">
                  <c:v>-4.7000000000000073</c:v>
                </c:pt>
                <c:pt idx="33">
                  <c:v>-4.5000000000000071</c:v>
                </c:pt>
                <c:pt idx="34">
                  <c:v>-4.3000000000000069</c:v>
                </c:pt>
                <c:pt idx="35">
                  <c:v>-4.1000000000000068</c:v>
                </c:pt>
                <c:pt idx="36">
                  <c:v>-3.9000000000000066</c:v>
                </c:pt>
                <c:pt idx="37">
                  <c:v>-3.7000000000000064</c:v>
                </c:pt>
                <c:pt idx="38">
                  <c:v>-3.5000000000000062</c:v>
                </c:pt>
                <c:pt idx="39">
                  <c:v>-3.300000000000006</c:v>
                </c:pt>
                <c:pt idx="40">
                  <c:v>-3.1000000000000059</c:v>
                </c:pt>
                <c:pt idx="41">
                  <c:v>-2.9000000000000057</c:v>
                </c:pt>
                <c:pt idx="42">
                  <c:v>-2.7000000000000055</c:v>
                </c:pt>
                <c:pt idx="43">
                  <c:v>-2.5000000000000053</c:v>
                </c:pt>
                <c:pt idx="44">
                  <c:v>-2.3000000000000052</c:v>
                </c:pt>
                <c:pt idx="45">
                  <c:v>-2.100000000000005</c:v>
                </c:pt>
                <c:pt idx="46">
                  <c:v>-1.900000000000005</c:v>
                </c:pt>
                <c:pt idx="47">
                  <c:v>-1.7000000000000051</c:v>
                </c:pt>
                <c:pt idx="48">
                  <c:v>-1.5000000000000051</c:v>
                </c:pt>
                <c:pt idx="49">
                  <c:v>-1.3000000000000052</c:v>
                </c:pt>
                <c:pt idx="50">
                  <c:v>-1.1000000000000052</c:v>
                </c:pt>
                <c:pt idx="51">
                  <c:v>-0.90000000000000524</c:v>
                </c:pt>
                <c:pt idx="52">
                  <c:v>-0.70000000000000528</c:v>
                </c:pt>
                <c:pt idx="53">
                  <c:v>-0.50000000000000533</c:v>
                </c:pt>
                <c:pt idx="54">
                  <c:v>-0.30000000000000532</c:v>
                </c:pt>
                <c:pt idx="55">
                  <c:v>-0.10000000000000531</c:v>
                </c:pt>
                <c:pt idx="56">
                  <c:v>9.9999999999994704E-2</c:v>
                </c:pt>
                <c:pt idx="57">
                  <c:v>0.29999999999999472</c:v>
                </c:pt>
                <c:pt idx="58">
                  <c:v>0.49999999999999473</c:v>
                </c:pt>
                <c:pt idx="59">
                  <c:v>0.69999999999999474</c:v>
                </c:pt>
                <c:pt idx="60">
                  <c:v>0.8999999999999948</c:v>
                </c:pt>
                <c:pt idx="61">
                  <c:v>1.0999999999999948</c:v>
                </c:pt>
                <c:pt idx="62">
                  <c:v>1.2999999999999947</c:v>
                </c:pt>
                <c:pt idx="63">
                  <c:v>1.4999999999999947</c:v>
                </c:pt>
                <c:pt idx="64">
                  <c:v>1.6999999999999946</c:v>
                </c:pt>
                <c:pt idx="65">
                  <c:v>1.8999999999999946</c:v>
                </c:pt>
                <c:pt idx="66">
                  <c:v>2.0999999999999948</c:v>
                </c:pt>
                <c:pt idx="67">
                  <c:v>2.2999999999999949</c:v>
                </c:pt>
                <c:pt idx="68">
                  <c:v>2.4999999999999951</c:v>
                </c:pt>
                <c:pt idx="69">
                  <c:v>2.6999999999999953</c:v>
                </c:pt>
                <c:pt idx="70">
                  <c:v>2.8999999999999955</c:v>
                </c:pt>
                <c:pt idx="71">
                  <c:v>3.0999999999999956</c:v>
                </c:pt>
                <c:pt idx="72">
                  <c:v>3.2999999999999958</c:v>
                </c:pt>
                <c:pt idx="73">
                  <c:v>3.499999999999996</c:v>
                </c:pt>
                <c:pt idx="74">
                  <c:v>3.6999999999999962</c:v>
                </c:pt>
                <c:pt idx="75">
                  <c:v>3.8999999999999964</c:v>
                </c:pt>
                <c:pt idx="76">
                  <c:v>4.0999999999999961</c:v>
                </c:pt>
                <c:pt idx="77">
                  <c:v>4.2999999999999963</c:v>
                </c:pt>
                <c:pt idx="78">
                  <c:v>4.4999999999999964</c:v>
                </c:pt>
                <c:pt idx="79">
                  <c:v>4.6999999999999966</c:v>
                </c:pt>
                <c:pt idx="80">
                  <c:v>4.8999999999999968</c:v>
                </c:pt>
                <c:pt idx="81">
                  <c:v>5.099999999999997</c:v>
                </c:pt>
                <c:pt idx="82">
                  <c:v>5.2999999999999972</c:v>
                </c:pt>
                <c:pt idx="83">
                  <c:v>5.4999999999999973</c:v>
                </c:pt>
                <c:pt idx="84">
                  <c:v>5.6999999999999975</c:v>
                </c:pt>
                <c:pt idx="85">
                  <c:v>5.8999999999999977</c:v>
                </c:pt>
                <c:pt idx="86">
                  <c:v>6.0999999999999979</c:v>
                </c:pt>
                <c:pt idx="87">
                  <c:v>6.299999999999998</c:v>
                </c:pt>
                <c:pt idx="88">
                  <c:v>6.4999999999999982</c:v>
                </c:pt>
                <c:pt idx="89">
                  <c:v>6.6999999999999984</c:v>
                </c:pt>
                <c:pt idx="90">
                  <c:v>6.8999999999999986</c:v>
                </c:pt>
                <c:pt idx="91">
                  <c:v>7.0999999999999988</c:v>
                </c:pt>
                <c:pt idx="92">
                  <c:v>7.2999999999999989</c:v>
                </c:pt>
                <c:pt idx="93">
                  <c:v>7.4999999999999991</c:v>
                </c:pt>
                <c:pt idx="94">
                  <c:v>7.6999999999999993</c:v>
                </c:pt>
                <c:pt idx="95">
                  <c:v>7.8999999999999995</c:v>
                </c:pt>
                <c:pt idx="96">
                  <c:v>8.1</c:v>
                </c:pt>
                <c:pt idx="97">
                  <c:v>8.2999999999999989</c:v>
                </c:pt>
                <c:pt idx="98">
                  <c:v>8.4999999999999982</c:v>
                </c:pt>
                <c:pt idx="99">
                  <c:v>8.6999999999999975</c:v>
                </c:pt>
                <c:pt idx="100">
                  <c:v>8.8999999999999968</c:v>
                </c:pt>
                <c:pt idx="101">
                  <c:v>9.0999999999999961</c:v>
                </c:pt>
                <c:pt idx="102">
                  <c:v>9.2999999999999954</c:v>
                </c:pt>
                <c:pt idx="103">
                  <c:v>9.4999999999999947</c:v>
                </c:pt>
                <c:pt idx="104">
                  <c:v>9.699999999999994</c:v>
                </c:pt>
              </c:numCache>
            </c:numRef>
          </c:yVal>
          <c:smooth val="0"/>
          <c:extLst>
            <c:ext xmlns:c16="http://schemas.microsoft.com/office/drawing/2014/chart" uri="{C3380CC4-5D6E-409C-BE32-E72D297353CC}">
              <c16:uniqueId val="{00000000-E881-41D0-A32A-6C1A0884364F}"/>
            </c:ext>
          </c:extLst>
        </c:ser>
        <c:dLbls>
          <c:showLegendKey val="0"/>
          <c:showVal val="0"/>
          <c:showCatName val="0"/>
          <c:showSerName val="0"/>
          <c:showPercent val="0"/>
          <c:showBubbleSize val="0"/>
        </c:dLbls>
        <c:axId val="154972928"/>
        <c:axId val="154974848"/>
      </c:scatterChart>
      <c:valAx>
        <c:axId val="154972928"/>
        <c:scaling>
          <c:orientation val="minMax"/>
          <c:min val="0"/>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Hydraulic Conductivity,</a:t>
                </a:r>
                <a:r>
                  <a:rPr lang="en-US" b="1" baseline="0"/>
                  <a:t> ft/day</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974848"/>
        <c:crosses val="max"/>
        <c:crossBetween val="midCat"/>
      </c:valAx>
      <c:valAx>
        <c:axId val="154974848"/>
        <c:scaling>
          <c:orientation val="maxMin"/>
          <c:max val="10"/>
        </c:scaling>
        <c:delete val="0"/>
        <c:axPos val="l"/>
        <c:majorGridlines>
          <c:spPr>
            <a:ln w="9525" cap="flat" cmpd="sng" algn="ctr">
              <a:solidFill>
                <a:schemeClr val="tx1">
                  <a:alpha val="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Position from top of screen, ft</a:t>
                </a:r>
              </a:p>
            </c:rich>
          </c:tx>
          <c:layout>
            <c:manualLayout>
              <c:xMode val="edge"/>
              <c:yMode val="edge"/>
              <c:x val="2.5157232704402534E-2"/>
              <c:y val="0.28236444378102032"/>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972928"/>
        <c:crossesAt val="0"/>
        <c:crossBetween val="midCat"/>
        <c:majorUnit val="0.5"/>
      </c:valAx>
      <c:spPr>
        <a:solidFill>
          <a:schemeClr val="bg1"/>
        </a:solidFill>
        <a:ln>
          <a:solidFill>
            <a:schemeClr val="tx1"/>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HF = 1</c:v>
          </c:tx>
          <c:spPr>
            <a:ln>
              <a:solidFill>
                <a:srgbClr val="FFA7A7"/>
              </a:solidFill>
            </a:ln>
          </c:spPr>
          <c:marker>
            <c:symbol val="square"/>
            <c:size val="5"/>
            <c:spPr>
              <a:solidFill>
                <a:srgbClr val="FF0000"/>
              </a:solidFill>
              <a:ln>
                <a:solidFill>
                  <a:srgbClr val="FF0000"/>
                </a:solidFill>
                <a:prstDash val="solid"/>
              </a:ln>
            </c:spPr>
          </c:marker>
          <c:xVal>
            <c:numRef>
              <c:f>Output!$C$2:$C$87</c:f>
              <c:numCache>
                <c:formatCode>0.0000</c:formatCode>
                <c:ptCount val="8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2.1588627667893656E-4</c:v>
                </c:pt>
                <c:pt idx="46">
                  <c:v>2.1588627667893656E-4</c:v>
                </c:pt>
                <c:pt idx="47">
                  <c:v>2.1588627667893656E-4</c:v>
                </c:pt>
                <c:pt idx="48">
                  <c:v>2.1588627667893656E-4</c:v>
                </c:pt>
                <c:pt idx="49">
                  <c:v>2.1588627667893656E-4</c:v>
                </c:pt>
                <c:pt idx="50">
                  <c:v>2.1588627667893656E-4</c:v>
                </c:pt>
                <c:pt idx="51">
                  <c:v>2.1588627667893656E-4</c:v>
                </c:pt>
                <c:pt idx="52">
                  <c:v>2.1588627667893656E-4</c:v>
                </c:pt>
                <c:pt idx="53">
                  <c:v>2.1588627667893656E-4</c:v>
                </c:pt>
                <c:pt idx="54">
                  <c:v>2.1588627667893656E-4</c:v>
                </c:pt>
                <c:pt idx="55">
                  <c:v>2.1588627667893656E-4</c:v>
                </c:pt>
                <c:pt idx="56">
                  <c:v>2.1588627667893656E-4</c:v>
                </c:pt>
                <c:pt idx="57">
                  <c:v>2.1588627667893656E-4</c:v>
                </c:pt>
                <c:pt idx="58">
                  <c:v>2.1588627667893656E-4</c:v>
                </c:pt>
                <c:pt idx="59">
                  <c:v>2.1588627667893656E-4</c:v>
                </c:pt>
                <c:pt idx="60">
                  <c:v>2.1588627667893656E-4</c:v>
                </c:pt>
                <c:pt idx="61">
                  <c:v>2.1588627667893656E-4</c:v>
                </c:pt>
                <c:pt idx="62">
                  <c:v>2.1588627667893656E-4</c:v>
                </c:pt>
                <c:pt idx="63">
                  <c:v>2.1588627667893656E-4</c:v>
                </c:pt>
                <c:pt idx="64">
                  <c:v>2.1588627667893656E-4</c:v>
                </c:pt>
                <c:pt idx="65">
                  <c:v>2.1588627667893656E-4</c:v>
                </c:pt>
                <c:pt idx="66">
                  <c:v>2.1588627667893656E-4</c:v>
                </c:pt>
                <c:pt idx="67">
                  <c:v>2.1588627667893656E-4</c:v>
                </c:pt>
                <c:pt idx="68">
                  <c:v>2.1588627667893656E-4</c:v>
                </c:pt>
                <c:pt idx="69">
                  <c:v>2.1588627667893656E-4</c:v>
                </c:pt>
                <c:pt idx="70">
                  <c:v>2.1588627667893656E-4</c:v>
                </c:pt>
                <c:pt idx="71">
                  <c:v>2.1588627667893656E-4</c:v>
                </c:pt>
                <c:pt idx="72">
                  <c:v>2.1588627667893656E-4</c:v>
                </c:pt>
                <c:pt idx="73">
                  <c:v>2.1588627667893656E-4</c:v>
                </c:pt>
                <c:pt idx="74">
                  <c:v>2.1588627667893656E-4</c:v>
                </c:pt>
                <c:pt idx="75">
                  <c:v>2.1588627667893656E-4</c:v>
                </c:pt>
                <c:pt idx="76">
                  <c:v>2.1588627667893656E-4</c:v>
                </c:pt>
                <c:pt idx="77">
                  <c:v>2.1588627667893656E-4</c:v>
                </c:pt>
                <c:pt idx="78">
                  <c:v>2.1588627667893656E-4</c:v>
                </c:pt>
                <c:pt idx="79">
                  <c:v>2.1588627667893656E-4</c:v>
                </c:pt>
                <c:pt idx="80">
                  <c:v>2.1588627667893656E-4</c:v>
                </c:pt>
                <c:pt idx="81">
                  <c:v>2.1588627667893656E-4</c:v>
                </c:pt>
                <c:pt idx="82">
                  <c:v>2.1588627667893656E-4</c:v>
                </c:pt>
                <c:pt idx="83">
                  <c:v>2.1588627667893656E-4</c:v>
                </c:pt>
                <c:pt idx="84">
                  <c:v>2.1588627667893656E-4</c:v>
                </c:pt>
                <c:pt idx="85">
                  <c:v>0</c:v>
                </c:pt>
              </c:numCache>
            </c:numRef>
          </c:xVal>
          <c:yVal>
            <c:numRef>
              <c:f>Output!$B$2:$B$87</c:f>
              <c:numCache>
                <c:formatCode>0.00</c:formatCode>
                <c:ptCount val="86"/>
                <c:pt idx="0">
                  <c:v>-11</c:v>
                </c:pt>
                <c:pt idx="1">
                  <c:v>-10.875</c:v>
                </c:pt>
                <c:pt idx="2">
                  <c:v>-10.625</c:v>
                </c:pt>
                <c:pt idx="3">
                  <c:v>-10.375</c:v>
                </c:pt>
                <c:pt idx="4">
                  <c:v>-10.125</c:v>
                </c:pt>
                <c:pt idx="5">
                  <c:v>-9.875</c:v>
                </c:pt>
                <c:pt idx="6">
                  <c:v>-9.625</c:v>
                </c:pt>
                <c:pt idx="7">
                  <c:v>-9.375</c:v>
                </c:pt>
                <c:pt idx="8">
                  <c:v>-9.125</c:v>
                </c:pt>
                <c:pt idx="9">
                  <c:v>-8.875</c:v>
                </c:pt>
                <c:pt idx="10">
                  <c:v>-8.625</c:v>
                </c:pt>
                <c:pt idx="11">
                  <c:v>-8.375</c:v>
                </c:pt>
                <c:pt idx="12">
                  <c:v>-8.125</c:v>
                </c:pt>
                <c:pt idx="13">
                  <c:v>-7.875</c:v>
                </c:pt>
                <c:pt idx="14">
                  <c:v>-7.625</c:v>
                </c:pt>
                <c:pt idx="15">
                  <c:v>-7.375</c:v>
                </c:pt>
                <c:pt idx="16">
                  <c:v>-7.125</c:v>
                </c:pt>
                <c:pt idx="17">
                  <c:v>-6.875</c:v>
                </c:pt>
                <c:pt idx="18">
                  <c:v>-6.625</c:v>
                </c:pt>
                <c:pt idx="19">
                  <c:v>-6.375</c:v>
                </c:pt>
                <c:pt idx="20">
                  <c:v>-6.125</c:v>
                </c:pt>
                <c:pt idx="21">
                  <c:v>-5.875</c:v>
                </c:pt>
                <c:pt idx="22">
                  <c:v>-5.625</c:v>
                </c:pt>
                <c:pt idx="23">
                  <c:v>-5.375</c:v>
                </c:pt>
                <c:pt idx="24">
                  <c:v>-5.125</c:v>
                </c:pt>
                <c:pt idx="25">
                  <c:v>-4.875</c:v>
                </c:pt>
                <c:pt idx="26">
                  <c:v>-4.625</c:v>
                </c:pt>
                <c:pt idx="27">
                  <c:v>-4.375</c:v>
                </c:pt>
                <c:pt idx="28">
                  <c:v>-4.125</c:v>
                </c:pt>
                <c:pt idx="29">
                  <c:v>-3.875</c:v>
                </c:pt>
                <c:pt idx="30">
                  <c:v>-3.625</c:v>
                </c:pt>
                <c:pt idx="31">
                  <c:v>-3.375</c:v>
                </c:pt>
                <c:pt idx="32">
                  <c:v>-3.125</c:v>
                </c:pt>
                <c:pt idx="33">
                  <c:v>-2.875</c:v>
                </c:pt>
                <c:pt idx="34">
                  <c:v>-2.625</c:v>
                </c:pt>
                <c:pt idx="35">
                  <c:v>-2.375</c:v>
                </c:pt>
                <c:pt idx="36">
                  <c:v>-2.125</c:v>
                </c:pt>
                <c:pt idx="37">
                  <c:v>-1.875</c:v>
                </c:pt>
                <c:pt idx="38">
                  <c:v>-1.625</c:v>
                </c:pt>
                <c:pt idx="39">
                  <c:v>-1.375</c:v>
                </c:pt>
                <c:pt idx="40">
                  <c:v>-1.125</c:v>
                </c:pt>
                <c:pt idx="41">
                  <c:v>-0.875</c:v>
                </c:pt>
                <c:pt idx="42">
                  <c:v>-0.625</c:v>
                </c:pt>
                <c:pt idx="43">
                  <c:v>-0.375</c:v>
                </c:pt>
                <c:pt idx="44">
                  <c:v>-0.125</c:v>
                </c:pt>
                <c:pt idx="45">
                  <c:v>0.125</c:v>
                </c:pt>
                <c:pt idx="46">
                  <c:v>0.375</c:v>
                </c:pt>
                <c:pt idx="47">
                  <c:v>0.625</c:v>
                </c:pt>
                <c:pt idx="48">
                  <c:v>0.875</c:v>
                </c:pt>
                <c:pt idx="49">
                  <c:v>1.125</c:v>
                </c:pt>
                <c:pt idx="50">
                  <c:v>1.375</c:v>
                </c:pt>
                <c:pt idx="51">
                  <c:v>1.625</c:v>
                </c:pt>
                <c:pt idx="52">
                  <c:v>1.875</c:v>
                </c:pt>
                <c:pt idx="53">
                  <c:v>2.125</c:v>
                </c:pt>
                <c:pt idx="54">
                  <c:v>2.375</c:v>
                </c:pt>
                <c:pt idx="55">
                  <c:v>2.625</c:v>
                </c:pt>
                <c:pt idx="56">
                  <c:v>2.875</c:v>
                </c:pt>
                <c:pt idx="57">
                  <c:v>3.125</c:v>
                </c:pt>
                <c:pt idx="58">
                  <c:v>3.375</c:v>
                </c:pt>
                <c:pt idx="59">
                  <c:v>3.625</c:v>
                </c:pt>
                <c:pt idx="60">
                  <c:v>3.875</c:v>
                </c:pt>
                <c:pt idx="61">
                  <c:v>4.125</c:v>
                </c:pt>
                <c:pt idx="62">
                  <c:v>4.375</c:v>
                </c:pt>
                <c:pt idx="63">
                  <c:v>4.625</c:v>
                </c:pt>
                <c:pt idx="64">
                  <c:v>4.875</c:v>
                </c:pt>
                <c:pt idx="65">
                  <c:v>5.125</c:v>
                </c:pt>
                <c:pt idx="66">
                  <c:v>5.375</c:v>
                </c:pt>
                <c:pt idx="67">
                  <c:v>5.625</c:v>
                </c:pt>
                <c:pt idx="68">
                  <c:v>5.875</c:v>
                </c:pt>
                <c:pt idx="69">
                  <c:v>6.125</c:v>
                </c:pt>
                <c:pt idx="70">
                  <c:v>6.375</c:v>
                </c:pt>
                <c:pt idx="71">
                  <c:v>6.625</c:v>
                </c:pt>
                <c:pt idx="72">
                  <c:v>6.875</c:v>
                </c:pt>
                <c:pt idx="73">
                  <c:v>7.125</c:v>
                </c:pt>
                <c:pt idx="74">
                  <c:v>7.375</c:v>
                </c:pt>
                <c:pt idx="75">
                  <c:v>7.625</c:v>
                </c:pt>
                <c:pt idx="76">
                  <c:v>7.875</c:v>
                </c:pt>
                <c:pt idx="77">
                  <c:v>8.125</c:v>
                </c:pt>
                <c:pt idx="78">
                  <c:v>8.375</c:v>
                </c:pt>
                <c:pt idx="79">
                  <c:v>8.625</c:v>
                </c:pt>
                <c:pt idx="80">
                  <c:v>8.875</c:v>
                </c:pt>
                <c:pt idx="81">
                  <c:v>9.125</c:v>
                </c:pt>
                <c:pt idx="82">
                  <c:v>9.375</c:v>
                </c:pt>
                <c:pt idx="83">
                  <c:v>9.625</c:v>
                </c:pt>
                <c:pt idx="84">
                  <c:v>9.875</c:v>
                </c:pt>
                <c:pt idx="85">
                  <c:v>10</c:v>
                </c:pt>
              </c:numCache>
            </c:numRef>
          </c:yVal>
          <c:smooth val="0"/>
          <c:extLst>
            <c:ext xmlns:c16="http://schemas.microsoft.com/office/drawing/2014/chart" uri="{C3380CC4-5D6E-409C-BE32-E72D297353CC}">
              <c16:uniqueId val="{00000000-B70D-4DD9-8F39-90DE2FA85138}"/>
            </c:ext>
          </c:extLst>
        </c:ser>
        <c:ser>
          <c:idx val="1"/>
          <c:order val="1"/>
          <c:tx>
            <c:v>Water Level</c:v>
          </c:tx>
          <c:spPr>
            <a:ln>
              <a:solidFill>
                <a:srgbClr val="00B0F0"/>
              </a:solidFill>
            </a:ln>
          </c:spPr>
          <c:marker>
            <c:symbol val="none"/>
          </c:marker>
          <c:xVal>
            <c:numLit>
              <c:formatCode>General</c:formatCode>
              <c:ptCount val="2"/>
              <c:pt idx="0">
                <c:v>0</c:v>
              </c:pt>
              <c:pt idx="1">
                <c:v>3.3857808144558701E-3</c:v>
              </c:pt>
            </c:numLit>
          </c:xVal>
          <c:yVal>
            <c:numLit>
              <c:formatCode>General</c:formatCode>
              <c:ptCount val="2"/>
              <c:pt idx="0">
                <c:v>-11</c:v>
              </c:pt>
              <c:pt idx="1">
                <c:v>-11</c:v>
              </c:pt>
            </c:numLit>
          </c:yVal>
          <c:smooth val="0"/>
          <c:extLst>
            <c:ext xmlns:c16="http://schemas.microsoft.com/office/drawing/2014/chart" uri="{C3380CC4-5D6E-409C-BE32-E72D297353CC}">
              <c16:uniqueId val="{00000001-B70D-4DD9-8F39-90DE2FA85138}"/>
            </c:ext>
          </c:extLst>
        </c:ser>
        <c:ser>
          <c:idx val="2"/>
          <c:order val="2"/>
          <c:tx>
            <c:v>Top of Screen</c:v>
          </c:tx>
          <c:spPr>
            <a:ln>
              <a:solidFill>
                <a:srgbClr val="000000"/>
              </a:solidFill>
              <a:prstDash val="dash"/>
            </a:ln>
          </c:spPr>
          <c:marker>
            <c:symbol val="none"/>
          </c:marker>
          <c:xVal>
            <c:numLit>
              <c:formatCode>General</c:formatCode>
              <c:ptCount val="2"/>
              <c:pt idx="0">
                <c:v>0</c:v>
              </c:pt>
              <c:pt idx="1">
                <c:v>3.3857808144558701E-3</c:v>
              </c:pt>
            </c:numLit>
          </c:xVal>
          <c:yVal>
            <c:numLit>
              <c:formatCode>General</c:formatCode>
              <c:ptCount val="2"/>
              <c:pt idx="0">
                <c:v>0</c:v>
              </c:pt>
              <c:pt idx="1">
                <c:v>0</c:v>
              </c:pt>
            </c:numLit>
          </c:yVal>
          <c:smooth val="0"/>
          <c:extLst>
            <c:ext xmlns:c16="http://schemas.microsoft.com/office/drawing/2014/chart" uri="{C3380CC4-5D6E-409C-BE32-E72D297353CC}">
              <c16:uniqueId val="{00000002-B70D-4DD9-8F39-90DE2FA85138}"/>
            </c:ext>
          </c:extLst>
        </c:ser>
        <c:ser>
          <c:idx val="3"/>
          <c:order val="3"/>
          <c:tx>
            <c:v>Bottom of Screen</c:v>
          </c:tx>
          <c:spPr>
            <a:ln>
              <a:solidFill>
                <a:srgbClr val="FFCC33"/>
              </a:solidFill>
            </a:ln>
          </c:spPr>
          <c:marker>
            <c:symbol val="none"/>
          </c:marker>
          <c:xVal>
            <c:numLit>
              <c:formatCode>General</c:formatCode>
              <c:ptCount val="2"/>
              <c:pt idx="0">
                <c:v>0</c:v>
              </c:pt>
              <c:pt idx="1">
                <c:v>3.3857808144558701E-3</c:v>
              </c:pt>
            </c:numLit>
          </c:xVal>
          <c:yVal>
            <c:numLit>
              <c:formatCode>General</c:formatCode>
              <c:ptCount val="2"/>
              <c:pt idx="0">
                <c:v>10</c:v>
              </c:pt>
              <c:pt idx="1">
                <c:v>10</c:v>
              </c:pt>
            </c:numLit>
          </c:yVal>
          <c:smooth val="0"/>
          <c:extLst>
            <c:ext xmlns:c16="http://schemas.microsoft.com/office/drawing/2014/chart" uri="{C3380CC4-5D6E-409C-BE32-E72D297353CC}">
              <c16:uniqueId val="{00000003-B70D-4DD9-8F39-90DE2FA85138}"/>
            </c:ext>
          </c:extLst>
        </c:ser>
        <c:ser>
          <c:idx val="4"/>
          <c:order val="4"/>
          <c:tx>
            <c:v>Pump Mixing Boundary</c:v>
          </c:tx>
          <c:spPr>
            <a:ln>
              <a:solidFill>
                <a:srgbClr val="66FF66"/>
              </a:solidFill>
            </a:ln>
          </c:spPr>
          <c:marker>
            <c:symbol val="none"/>
          </c:marker>
          <c:xVal>
            <c:numLit>
              <c:formatCode>General</c:formatCode>
              <c:ptCount val="2"/>
              <c:pt idx="0">
                <c:v>0</c:v>
              </c:pt>
              <c:pt idx="1">
                <c:v>3.3857808144558701E-3</c:v>
              </c:pt>
            </c:numLit>
          </c:xVal>
          <c:yVal>
            <c:numLit>
              <c:formatCode>General</c:formatCode>
              <c:ptCount val="2"/>
              <c:pt idx="0">
                <c:v>5.5</c:v>
              </c:pt>
              <c:pt idx="1">
                <c:v>5.5</c:v>
              </c:pt>
            </c:numLit>
          </c:yVal>
          <c:smooth val="0"/>
          <c:extLst>
            <c:ext xmlns:c16="http://schemas.microsoft.com/office/drawing/2014/chart" uri="{C3380CC4-5D6E-409C-BE32-E72D297353CC}">
              <c16:uniqueId val="{00000004-B70D-4DD9-8F39-90DE2FA85138}"/>
            </c:ext>
          </c:extLst>
        </c:ser>
        <c:ser>
          <c:idx val="5"/>
          <c:order val="5"/>
          <c:spPr>
            <a:ln>
              <a:solidFill>
                <a:srgbClr val="66FF66"/>
              </a:solidFill>
            </a:ln>
          </c:spPr>
          <c:marker>
            <c:symbol val="none"/>
          </c:marker>
          <c:dLbls>
            <c:dLbl>
              <c:idx val="0"/>
              <c:layout>
                <c:manualLayout>
                  <c:x val="0.39583333333333343"/>
                  <c:y val="1.8045112781954888E-2"/>
                </c:manualLayout>
              </c:layout>
              <c:tx>
                <c:rich>
                  <a:bodyPr wrap="square" lIns="38100" tIns="19050" rIns="38100" bIns="19050" anchor="ctr">
                    <a:spAutoFit/>
                  </a:bodyPr>
                  <a:lstStyle/>
                  <a:p>
                    <a:pPr>
                      <a:defRPr sz="1400">
                        <a:solidFill>
                          <a:srgbClr val="66FF66"/>
                        </a:solidFill>
                      </a:defRPr>
                    </a:pPr>
                    <a:r>
                      <a:rPr lang="en-US" sz="1400">
                        <a:solidFill>
                          <a:srgbClr val="66FF66"/>
                        </a:solidFill>
                      </a:rPr>
                      <a:t>PUMP</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0.20833333333333334"/>
                      <c:h val="3.048629447634835E-2"/>
                    </c:manualLayout>
                  </c15:layout>
                </c:ext>
                <c:ext xmlns:c16="http://schemas.microsoft.com/office/drawing/2014/chart" uri="{C3380CC4-5D6E-409C-BE32-E72D297353CC}">
                  <c16:uniqueId val="{00000006-B70D-4DD9-8F39-90DE2FA85138}"/>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0</c:v>
              </c:pt>
              <c:pt idx="1">
                <c:v>3.3857808144558701E-3</c:v>
              </c:pt>
            </c:numLit>
          </c:xVal>
          <c:yVal>
            <c:numLit>
              <c:formatCode>General</c:formatCode>
              <c:ptCount val="2"/>
              <c:pt idx="0">
                <c:v>4.5</c:v>
              </c:pt>
              <c:pt idx="1">
                <c:v>4.5</c:v>
              </c:pt>
            </c:numLit>
          </c:yVal>
          <c:smooth val="0"/>
          <c:extLst>
            <c:ext xmlns:c16="http://schemas.microsoft.com/office/drawing/2014/chart" uri="{C3380CC4-5D6E-409C-BE32-E72D297353CC}">
              <c16:uniqueId val="{00000005-B70D-4DD9-8F39-90DE2FA85138}"/>
            </c:ext>
          </c:extLst>
        </c:ser>
        <c:dLbls>
          <c:showLegendKey val="0"/>
          <c:showVal val="0"/>
          <c:showCatName val="0"/>
          <c:showSerName val="0"/>
          <c:showPercent val="0"/>
          <c:showBubbleSize val="0"/>
        </c:dLbls>
        <c:axId val="641305536"/>
        <c:axId val="648079856"/>
      </c:scatterChart>
      <c:valAx>
        <c:axId val="641305536"/>
        <c:scaling>
          <c:orientation val="minMax"/>
          <c:max val="4.2322260180698349E-4"/>
          <c:min val="0"/>
        </c:scaling>
        <c:delete val="0"/>
        <c:axPos val="t"/>
        <c:title>
          <c:tx>
            <c:rich>
              <a:bodyPr/>
              <a:lstStyle/>
              <a:p>
                <a:pPr>
                  <a:defRPr/>
                </a:pPr>
                <a:r>
                  <a:rPr lang="en-US"/>
                  <a:t>Horizontal Inflow, cubic feet/min</a:t>
                </a:r>
              </a:p>
            </c:rich>
          </c:tx>
          <c:overlay val="0"/>
        </c:title>
        <c:numFmt formatCode="0.0000" sourceLinked="1"/>
        <c:majorTickMark val="out"/>
        <c:minorTickMark val="none"/>
        <c:tickLblPos val="nextTo"/>
        <c:crossAx val="648079856"/>
        <c:crossesAt val="-12"/>
        <c:crossBetween val="midCat"/>
      </c:valAx>
      <c:valAx>
        <c:axId val="648079856"/>
        <c:scaling>
          <c:orientation val="maxMin"/>
          <c:max val="10"/>
          <c:min val="-12"/>
        </c:scaling>
        <c:delete val="0"/>
        <c:axPos val="l"/>
        <c:majorGridlines>
          <c:spPr>
            <a:ln w="6350" cap="flat" cmpd="sng" algn="ctr">
              <a:solidFill>
                <a:sysClr val="windowText" lastClr="000000">
                  <a:alpha val="15000"/>
                </a:sysClr>
              </a:solidFill>
              <a:prstDash val="solid"/>
              <a:round/>
              <a:headEnd type="none" w="med" len="med"/>
              <a:tailEnd type="none" w="med" len="med"/>
            </a:ln>
          </c:spPr>
        </c:majorGridlines>
        <c:title>
          <c:tx>
            <c:rich>
              <a:bodyPr rot="-5400000" vert="horz"/>
              <a:lstStyle/>
              <a:p>
                <a:pPr>
                  <a:defRPr/>
                </a:pPr>
                <a:r>
                  <a:rPr lang="en-US"/>
                  <a:t>Position from Top of Screen, feet</a:t>
                </a:r>
              </a:p>
            </c:rich>
          </c:tx>
          <c:overlay val="0"/>
        </c:title>
        <c:numFmt formatCode="0.00" sourceLinked="1"/>
        <c:majorTickMark val="out"/>
        <c:minorTickMark val="none"/>
        <c:tickLblPos val="nextTo"/>
        <c:crossAx val="641305536"/>
        <c:crossesAt val="0"/>
        <c:crossBetween val="midCat"/>
        <c:majorUnit val="0.25"/>
        <c:minorUnit val="0.125"/>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0F0F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HF = 1</c:v>
          </c:tx>
          <c:spPr>
            <a:ln>
              <a:solidFill>
                <a:srgbClr val="FFA7A7"/>
              </a:solidFill>
            </a:ln>
          </c:spPr>
          <c:marker>
            <c:symbol val="square"/>
            <c:size val="5"/>
            <c:spPr>
              <a:solidFill>
                <a:srgbClr val="FF0000"/>
              </a:solidFill>
              <a:ln>
                <a:solidFill>
                  <a:srgbClr val="FF0000"/>
                </a:solidFill>
                <a:prstDash val="solid"/>
              </a:ln>
            </c:spPr>
          </c:marker>
          <c:xVal>
            <c:numRef>
              <c:f>Output!$F$2:$F$64</c:f>
              <c:numCache>
                <c:formatCode>0.00</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1.7591996456528546E-2</c:v>
                </c:pt>
                <c:pt idx="46">
                  <c:v>3.5183992913057092E-2</c:v>
                </c:pt>
                <c:pt idx="47">
                  <c:v>5.2775989369585635E-2</c:v>
                </c:pt>
                <c:pt idx="48">
                  <c:v>7.0367985826114185E-2</c:v>
                </c:pt>
                <c:pt idx="49">
                  <c:v>8.7959982282642735E-2</c:v>
                </c:pt>
                <c:pt idx="50">
                  <c:v>0.10555197873917128</c:v>
                </c:pt>
                <c:pt idx="51">
                  <c:v>0.12314397519569983</c:v>
                </c:pt>
                <c:pt idx="52">
                  <c:v>0.14073597165222837</c:v>
                </c:pt>
                <c:pt idx="53">
                  <c:v>0.15832796810875691</c:v>
                </c:pt>
                <c:pt idx="54">
                  <c:v>0.17591996456528544</c:v>
                </c:pt>
                <c:pt idx="55">
                  <c:v>0.19351196102181398</c:v>
                </c:pt>
                <c:pt idx="56">
                  <c:v>0.21110395747834251</c:v>
                </c:pt>
                <c:pt idx="57">
                  <c:v>0.22869595393487105</c:v>
                </c:pt>
                <c:pt idx="58">
                  <c:v>0.24628795039139958</c:v>
                </c:pt>
                <c:pt idx="59">
                  <c:v>0.26387994684792815</c:v>
                </c:pt>
                <c:pt idx="60">
                  <c:v>0.28147194330445668</c:v>
                </c:pt>
                <c:pt idx="61">
                  <c:v>0.29906393976098522</c:v>
                </c:pt>
                <c:pt idx="62">
                  <c:v>0.31665593621751376</c:v>
                </c:pt>
              </c:numCache>
            </c:numRef>
          </c:xVal>
          <c:yVal>
            <c:numRef>
              <c:f>Output!$E$2:$E$64</c:f>
              <c:numCache>
                <c:formatCode>0.00</c:formatCode>
                <c:ptCount val="63"/>
                <c:pt idx="0">
                  <c:v>-11</c:v>
                </c:pt>
                <c:pt idx="1">
                  <c:v>-10.75</c:v>
                </c:pt>
                <c:pt idx="2">
                  <c:v>-10.5</c:v>
                </c:pt>
                <c:pt idx="3">
                  <c:v>-10.25</c:v>
                </c:pt>
                <c:pt idx="4">
                  <c:v>-10</c:v>
                </c:pt>
                <c:pt idx="5">
                  <c:v>-9.75</c:v>
                </c:pt>
                <c:pt idx="6">
                  <c:v>-9.5</c:v>
                </c:pt>
                <c:pt idx="7">
                  <c:v>-9.25</c:v>
                </c:pt>
                <c:pt idx="8">
                  <c:v>-9</c:v>
                </c:pt>
                <c:pt idx="9">
                  <c:v>-8.75</c:v>
                </c:pt>
                <c:pt idx="10">
                  <c:v>-8.5</c:v>
                </c:pt>
                <c:pt idx="11">
                  <c:v>-8.25</c:v>
                </c:pt>
                <c:pt idx="12">
                  <c:v>-8</c:v>
                </c:pt>
                <c:pt idx="13">
                  <c:v>-7.75</c:v>
                </c:pt>
                <c:pt idx="14">
                  <c:v>-7.5</c:v>
                </c:pt>
                <c:pt idx="15">
                  <c:v>-7.25</c:v>
                </c:pt>
                <c:pt idx="16">
                  <c:v>-7</c:v>
                </c:pt>
                <c:pt idx="17">
                  <c:v>-6.75</c:v>
                </c:pt>
                <c:pt idx="18">
                  <c:v>-6.5</c:v>
                </c:pt>
                <c:pt idx="19">
                  <c:v>-6.25</c:v>
                </c:pt>
                <c:pt idx="20">
                  <c:v>-6</c:v>
                </c:pt>
                <c:pt idx="21">
                  <c:v>-5.75</c:v>
                </c:pt>
                <c:pt idx="22">
                  <c:v>-5.5</c:v>
                </c:pt>
                <c:pt idx="23">
                  <c:v>-5.25</c:v>
                </c:pt>
                <c:pt idx="24">
                  <c:v>-5</c:v>
                </c:pt>
                <c:pt idx="25">
                  <c:v>-4.75</c:v>
                </c:pt>
                <c:pt idx="26">
                  <c:v>-4.5</c:v>
                </c:pt>
                <c:pt idx="27">
                  <c:v>-4.25</c:v>
                </c:pt>
                <c:pt idx="28">
                  <c:v>-4</c:v>
                </c:pt>
                <c:pt idx="29">
                  <c:v>-3.75</c:v>
                </c:pt>
                <c:pt idx="30">
                  <c:v>-3.5</c:v>
                </c:pt>
                <c:pt idx="31">
                  <c:v>-3.25</c:v>
                </c:pt>
                <c:pt idx="32">
                  <c:v>-3</c:v>
                </c:pt>
                <c:pt idx="33">
                  <c:v>-2.75</c:v>
                </c:pt>
                <c:pt idx="34">
                  <c:v>-2.5</c:v>
                </c:pt>
                <c:pt idx="35">
                  <c:v>-2.25</c:v>
                </c:pt>
                <c:pt idx="36">
                  <c:v>-2</c:v>
                </c:pt>
                <c:pt idx="37">
                  <c:v>-1.75</c:v>
                </c:pt>
                <c:pt idx="38">
                  <c:v>-1.5</c:v>
                </c:pt>
                <c:pt idx="39">
                  <c:v>-1.25</c:v>
                </c:pt>
                <c:pt idx="40">
                  <c:v>-1</c:v>
                </c:pt>
                <c:pt idx="41">
                  <c:v>-0.75</c:v>
                </c:pt>
                <c:pt idx="42">
                  <c:v>-0.5</c:v>
                </c:pt>
                <c:pt idx="43">
                  <c:v>-0.25</c:v>
                </c:pt>
                <c:pt idx="44">
                  <c:v>0</c:v>
                </c:pt>
                <c:pt idx="45">
                  <c:v>0.25</c:v>
                </c:pt>
                <c:pt idx="46">
                  <c:v>0.5</c:v>
                </c:pt>
                <c:pt idx="47">
                  <c:v>0.75</c:v>
                </c:pt>
                <c:pt idx="48">
                  <c:v>1</c:v>
                </c:pt>
                <c:pt idx="49">
                  <c:v>1.25</c:v>
                </c:pt>
                <c:pt idx="50">
                  <c:v>1.5</c:v>
                </c:pt>
                <c:pt idx="51">
                  <c:v>1.75</c:v>
                </c:pt>
                <c:pt idx="52">
                  <c:v>2</c:v>
                </c:pt>
                <c:pt idx="53">
                  <c:v>2.25</c:v>
                </c:pt>
                <c:pt idx="54">
                  <c:v>2.5</c:v>
                </c:pt>
                <c:pt idx="55">
                  <c:v>2.75</c:v>
                </c:pt>
                <c:pt idx="56">
                  <c:v>3</c:v>
                </c:pt>
                <c:pt idx="57">
                  <c:v>3.25</c:v>
                </c:pt>
                <c:pt idx="58">
                  <c:v>3.5</c:v>
                </c:pt>
                <c:pt idx="59">
                  <c:v>3.75</c:v>
                </c:pt>
                <c:pt idx="60">
                  <c:v>4</c:v>
                </c:pt>
                <c:pt idx="61">
                  <c:v>4.25</c:v>
                </c:pt>
                <c:pt idx="62">
                  <c:v>4.5</c:v>
                </c:pt>
              </c:numCache>
            </c:numRef>
          </c:yVal>
          <c:smooth val="0"/>
          <c:extLst>
            <c:ext xmlns:c16="http://schemas.microsoft.com/office/drawing/2014/chart" uri="{C3380CC4-5D6E-409C-BE32-E72D297353CC}">
              <c16:uniqueId val="{00000000-D505-4755-9645-F1F4C921D3DC}"/>
            </c:ext>
          </c:extLst>
        </c:ser>
        <c:ser>
          <c:idx val="1"/>
          <c:order val="1"/>
          <c:spPr>
            <a:ln>
              <a:solidFill>
                <a:srgbClr val="FFA7A7"/>
              </a:solidFill>
            </a:ln>
          </c:spPr>
          <c:marker>
            <c:symbol val="square"/>
            <c:size val="5"/>
            <c:spPr>
              <a:solidFill>
                <a:srgbClr val="FF0000"/>
              </a:solidFill>
              <a:ln>
                <a:solidFill>
                  <a:srgbClr val="FF0000"/>
                </a:solidFill>
                <a:prstDash val="solid"/>
              </a:ln>
            </c:spPr>
          </c:marker>
          <c:xVal>
            <c:numRef>
              <c:f>Output!$F$65:$F$83</c:f>
              <c:numCache>
                <c:formatCode>0.00</c:formatCode>
                <c:ptCount val="19"/>
                <c:pt idx="0">
                  <c:v>0</c:v>
                </c:pt>
                <c:pt idx="1">
                  <c:v>1.7591996456528546E-2</c:v>
                </c:pt>
                <c:pt idx="2">
                  <c:v>3.5183992913057092E-2</c:v>
                </c:pt>
                <c:pt idx="3">
                  <c:v>5.2775989369585635E-2</c:v>
                </c:pt>
                <c:pt idx="4">
                  <c:v>7.0367985826114185E-2</c:v>
                </c:pt>
                <c:pt idx="5">
                  <c:v>8.7959982282642735E-2</c:v>
                </c:pt>
                <c:pt idx="6">
                  <c:v>0.10555197873917128</c:v>
                </c:pt>
                <c:pt idx="7">
                  <c:v>0.12314397519569983</c:v>
                </c:pt>
                <c:pt idx="8">
                  <c:v>0.14073597165222837</c:v>
                </c:pt>
                <c:pt idx="9">
                  <c:v>0.15832796810875691</c:v>
                </c:pt>
                <c:pt idx="10">
                  <c:v>0.17591996456528544</c:v>
                </c:pt>
                <c:pt idx="11">
                  <c:v>0.19351196102181398</c:v>
                </c:pt>
                <c:pt idx="12">
                  <c:v>0.21110395747834251</c:v>
                </c:pt>
                <c:pt idx="13">
                  <c:v>0.22869595393487105</c:v>
                </c:pt>
                <c:pt idx="14">
                  <c:v>0.24628795039139958</c:v>
                </c:pt>
                <c:pt idx="15">
                  <c:v>0.26387994684792815</c:v>
                </c:pt>
                <c:pt idx="16">
                  <c:v>0.28147194330445668</c:v>
                </c:pt>
                <c:pt idx="17">
                  <c:v>0.29906393976098522</c:v>
                </c:pt>
                <c:pt idx="18">
                  <c:v>0.31665593621751376</c:v>
                </c:pt>
              </c:numCache>
            </c:numRef>
          </c:xVal>
          <c:yVal>
            <c:numRef>
              <c:f>Output!$E$65:$E$83</c:f>
              <c:numCache>
                <c:formatCode>0.00</c:formatCode>
                <c:ptCount val="19"/>
                <c:pt idx="0">
                  <c:v>10</c:v>
                </c:pt>
                <c:pt idx="1">
                  <c:v>9.75</c:v>
                </c:pt>
                <c:pt idx="2">
                  <c:v>9.5</c:v>
                </c:pt>
                <c:pt idx="3">
                  <c:v>9.25</c:v>
                </c:pt>
                <c:pt idx="4">
                  <c:v>9</c:v>
                </c:pt>
                <c:pt idx="5">
                  <c:v>8.75</c:v>
                </c:pt>
                <c:pt idx="6">
                  <c:v>8.5</c:v>
                </c:pt>
                <c:pt idx="7">
                  <c:v>8.25</c:v>
                </c:pt>
                <c:pt idx="8">
                  <c:v>8</c:v>
                </c:pt>
                <c:pt idx="9">
                  <c:v>7.75</c:v>
                </c:pt>
                <c:pt idx="10">
                  <c:v>7.5</c:v>
                </c:pt>
                <c:pt idx="11">
                  <c:v>7.25</c:v>
                </c:pt>
                <c:pt idx="12">
                  <c:v>7</c:v>
                </c:pt>
                <c:pt idx="13">
                  <c:v>6.75</c:v>
                </c:pt>
                <c:pt idx="14">
                  <c:v>6.5</c:v>
                </c:pt>
                <c:pt idx="15">
                  <c:v>6.25</c:v>
                </c:pt>
                <c:pt idx="16">
                  <c:v>6</c:v>
                </c:pt>
                <c:pt idx="17">
                  <c:v>5.75</c:v>
                </c:pt>
                <c:pt idx="18">
                  <c:v>5.5</c:v>
                </c:pt>
              </c:numCache>
            </c:numRef>
          </c:yVal>
          <c:smooth val="0"/>
          <c:extLst>
            <c:ext xmlns:c16="http://schemas.microsoft.com/office/drawing/2014/chart" uri="{C3380CC4-5D6E-409C-BE32-E72D297353CC}">
              <c16:uniqueId val="{00000001-D505-4755-9645-F1F4C921D3DC}"/>
            </c:ext>
          </c:extLst>
        </c:ser>
        <c:ser>
          <c:idx val="2"/>
          <c:order val="2"/>
          <c:tx>
            <c:v>Water Level</c:v>
          </c:tx>
          <c:spPr>
            <a:ln>
              <a:solidFill>
                <a:srgbClr val="00B0F0"/>
              </a:solidFill>
            </a:ln>
          </c:spPr>
          <c:marker>
            <c:symbol val="none"/>
          </c:marker>
          <c:xVal>
            <c:numLit>
              <c:formatCode>General</c:formatCode>
              <c:ptCount val="2"/>
              <c:pt idx="0">
                <c:v>0</c:v>
              </c:pt>
              <c:pt idx="1">
                <c:v>3.16655936217514</c:v>
              </c:pt>
            </c:numLit>
          </c:xVal>
          <c:yVal>
            <c:numLit>
              <c:formatCode>General</c:formatCode>
              <c:ptCount val="2"/>
              <c:pt idx="0">
                <c:v>-11</c:v>
              </c:pt>
              <c:pt idx="1">
                <c:v>-11</c:v>
              </c:pt>
            </c:numLit>
          </c:yVal>
          <c:smooth val="0"/>
          <c:extLst>
            <c:ext xmlns:c16="http://schemas.microsoft.com/office/drawing/2014/chart" uri="{C3380CC4-5D6E-409C-BE32-E72D297353CC}">
              <c16:uniqueId val="{00000002-D505-4755-9645-F1F4C921D3DC}"/>
            </c:ext>
          </c:extLst>
        </c:ser>
        <c:ser>
          <c:idx val="3"/>
          <c:order val="3"/>
          <c:tx>
            <c:v>Top of Screen</c:v>
          </c:tx>
          <c:spPr>
            <a:ln>
              <a:solidFill>
                <a:srgbClr val="000000"/>
              </a:solidFill>
              <a:prstDash val="dash"/>
            </a:ln>
          </c:spPr>
          <c:marker>
            <c:symbol val="none"/>
          </c:marker>
          <c:xVal>
            <c:numLit>
              <c:formatCode>General</c:formatCode>
              <c:ptCount val="2"/>
              <c:pt idx="0">
                <c:v>0</c:v>
              </c:pt>
              <c:pt idx="1">
                <c:v>3.16655936217514</c:v>
              </c:pt>
            </c:numLit>
          </c:xVal>
          <c:yVal>
            <c:numLit>
              <c:formatCode>General</c:formatCode>
              <c:ptCount val="2"/>
              <c:pt idx="0">
                <c:v>0</c:v>
              </c:pt>
              <c:pt idx="1">
                <c:v>0</c:v>
              </c:pt>
            </c:numLit>
          </c:yVal>
          <c:smooth val="0"/>
          <c:extLst>
            <c:ext xmlns:c16="http://schemas.microsoft.com/office/drawing/2014/chart" uri="{C3380CC4-5D6E-409C-BE32-E72D297353CC}">
              <c16:uniqueId val="{00000003-D505-4755-9645-F1F4C921D3DC}"/>
            </c:ext>
          </c:extLst>
        </c:ser>
        <c:ser>
          <c:idx val="4"/>
          <c:order val="4"/>
          <c:tx>
            <c:v>Bottom of Screen</c:v>
          </c:tx>
          <c:spPr>
            <a:ln>
              <a:solidFill>
                <a:srgbClr val="FFCC33"/>
              </a:solidFill>
            </a:ln>
          </c:spPr>
          <c:marker>
            <c:symbol val="none"/>
          </c:marker>
          <c:xVal>
            <c:numLit>
              <c:formatCode>General</c:formatCode>
              <c:ptCount val="2"/>
              <c:pt idx="0">
                <c:v>0</c:v>
              </c:pt>
              <c:pt idx="1">
                <c:v>3.16655936217514</c:v>
              </c:pt>
            </c:numLit>
          </c:xVal>
          <c:yVal>
            <c:numLit>
              <c:formatCode>General</c:formatCode>
              <c:ptCount val="2"/>
              <c:pt idx="0">
                <c:v>10</c:v>
              </c:pt>
              <c:pt idx="1">
                <c:v>10</c:v>
              </c:pt>
            </c:numLit>
          </c:yVal>
          <c:smooth val="0"/>
          <c:extLst>
            <c:ext xmlns:c16="http://schemas.microsoft.com/office/drawing/2014/chart" uri="{C3380CC4-5D6E-409C-BE32-E72D297353CC}">
              <c16:uniqueId val="{00000004-D505-4755-9645-F1F4C921D3DC}"/>
            </c:ext>
          </c:extLst>
        </c:ser>
        <c:ser>
          <c:idx val="5"/>
          <c:order val="5"/>
          <c:tx>
            <c:v>Pump Mixing Boundary</c:v>
          </c:tx>
          <c:spPr>
            <a:ln>
              <a:solidFill>
                <a:srgbClr val="66FF66"/>
              </a:solidFill>
            </a:ln>
          </c:spPr>
          <c:marker>
            <c:symbol val="none"/>
          </c:marker>
          <c:xVal>
            <c:numLit>
              <c:formatCode>General</c:formatCode>
              <c:ptCount val="2"/>
              <c:pt idx="0">
                <c:v>0</c:v>
              </c:pt>
              <c:pt idx="1">
                <c:v>3.16655936217514</c:v>
              </c:pt>
            </c:numLit>
          </c:xVal>
          <c:yVal>
            <c:numLit>
              <c:formatCode>General</c:formatCode>
              <c:ptCount val="2"/>
              <c:pt idx="0">
                <c:v>5.5</c:v>
              </c:pt>
              <c:pt idx="1">
                <c:v>5.5</c:v>
              </c:pt>
            </c:numLit>
          </c:yVal>
          <c:smooth val="0"/>
          <c:extLst>
            <c:ext xmlns:c16="http://schemas.microsoft.com/office/drawing/2014/chart" uri="{C3380CC4-5D6E-409C-BE32-E72D297353CC}">
              <c16:uniqueId val="{00000005-D505-4755-9645-F1F4C921D3DC}"/>
            </c:ext>
          </c:extLst>
        </c:ser>
        <c:ser>
          <c:idx val="6"/>
          <c:order val="6"/>
          <c:spPr>
            <a:ln>
              <a:solidFill>
                <a:srgbClr val="66FF66"/>
              </a:solidFill>
            </a:ln>
          </c:spPr>
          <c:marker>
            <c:symbol val="none"/>
          </c:marker>
          <c:dLbls>
            <c:dLbl>
              <c:idx val="0"/>
              <c:layout>
                <c:manualLayout>
                  <c:x val="0.39583333333333343"/>
                  <c:y val="1.8045112781954888E-2"/>
                </c:manualLayout>
              </c:layout>
              <c:tx>
                <c:rich>
                  <a:bodyPr wrap="square" lIns="38100" tIns="19050" rIns="38100" bIns="19050" anchor="ctr">
                    <a:spAutoFit/>
                  </a:bodyPr>
                  <a:lstStyle/>
                  <a:p>
                    <a:pPr>
                      <a:defRPr sz="1400">
                        <a:solidFill>
                          <a:srgbClr val="66FF66"/>
                        </a:solidFill>
                      </a:defRPr>
                    </a:pPr>
                    <a:r>
                      <a:rPr lang="en-US" sz="1400">
                        <a:solidFill>
                          <a:srgbClr val="66FF66"/>
                        </a:solidFill>
                      </a:rPr>
                      <a:t>PUMP</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0.20833333333333334"/>
                      <c:h val="3.048629447634835E-2"/>
                    </c:manualLayout>
                  </c15:layout>
                </c:ext>
                <c:ext xmlns:c16="http://schemas.microsoft.com/office/drawing/2014/chart" uri="{C3380CC4-5D6E-409C-BE32-E72D297353CC}">
                  <c16:uniqueId val="{00000007-D505-4755-9645-F1F4C921D3DC}"/>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0</c:v>
              </c:pt>
              <c:pt idx="1">
                <c:v>3.16655936217514</c:v>
              </c:pt>
            </c:numLit>
          </c:xVal>
          <c:yVal>
            <c:numLit>
              <c:formatCode>General</c:formatCode>
              <c:ptCount val="2"/>
              <c:pt idx="0">
                <c:v>4.5</c:v>
              </c:pt>
              <c:pt idx="1">
                <c:v>4.5</c:v>
              </c:pt>
            </c:numLit>
          </c:yVal>
          <c:smooth val="0"/>
          <c:extLst>
            <c:ext xmlns:c16="http://schemas.microsoft.com/office/drawing/2014/chart" uri="{C3380CC4-5D6E-409C-BE32-E72D297353CC}">
              <c16:uniqueId val="{00000006-D505-4755-9645-F1F4C921D3DC}"/>
            </c:ext>
          </c:extLst>
        </c:ser>
        <c:dLbls>
          <c:showLegendKey val="0"/>
          <c:showVal val="0"/>
          <c:showCatName val="0"/>
          <c:showSerName val="0"/>
          <c:showPercent val="0"/>
          <c:showBubbleSize val="0"/>
        </c:dLbls>
        <c:axId val="341383760"/>
        <c:axId val="648077776"/>
      </c:scatterChart>
      <c:valAx>
        <c:axId val="341383760"/>
        <c:scaling>
          <c:orientation val="minMax"/>
          <c:max val="0.39581992027189217"/>
          <c:min val="0"/>
        </c:scaling>
        <c:delete val="0"/>
        <c:axPos val="t"/>
        <c:title>
          <c:tx>
            <c:rich>
              <a:bodyPr/>
              <a:lstStyle/>
              <a:p>
                <a:pPr>
                  <a:defRPr/>
                </a:pPr>
                <a:r>
                  <a:rPr lang="en-US"/>
                  <a:t>Vertical Velocity, feet/min</a:t>
                </a:r>
              </a:p>
            </c:rich>
          </c:tx>
          <c:overlay val="0"/>
        </c:title>
        <c:numFmt formatCode="0.00" sourceLinked="1"/>
        <c:majorTickMark val="out"/>
        <c:minorTickMark val="none"/>
        <c:tickLblPos val="nextTo"/>
        <c:crossAx val="648077776"/>
        <c:crossesAt val="-12"/>
        <c:crossBetween val="midCat"/>
      </c:valAx>
      <c:valAx>
        <c:axId val="648077776"/>
        <c:scaling>
          <c:orientation val="maxMin"/>
          <c:max val="10"/>
          <c:min val="-12"/>
        </c:scaling>
        <c:delete val="0"/>
        <c:axPos val="l"/>
        <c:majorGridlines>
          <c:spPr>
            <a:ln w="6350" cap="flat" cmpd="sng" algn="ctr">
              <a:solidFill>
                <a:sysClr val="windowText" lastClr="000000">
                  <a:alpha val="15000"/>
                </a:sysClr>
              </a:solidFill>
              <a:prstDash val="solid"/>
              <a:round/>
              <a:headEnd type="none" w="med" len="med"/>
              <a:tailEnd type="none" w="med" len="med"/>
            </a:ln>
          </c:spPr>
        </c:majorGridlines>
        <c:title>
          <c:tx>
            <c:rich>
              <a:bodyPr rot="-5400000" vert="horz"/>
              <a:lstStyle/>
              <a:p>
                <a:pPr>
                  <a:defRPr/>
                </a:pPr>
                <a:r>
                  <a:rPr lang="en-US"/>
                  <a:t>Position from Top of Screen, feet</a:t>
                </a:r>
              </a:p>
            </c:rich>
          </c:tx>
          <c:overlay val="0"/>
        </c:title>
        <c:numFmt formatCode="0.00" sourceLinked="1"/>
        <c:majorTickMark val="out"/>
        <c:minorTickMark val="none"/>
        <c:tickLblPos val="nextTo"/>
        <c:crossAx val="341383760"/>
        <c:crossesAt val="0"/>
        <c:crossBetween val="midCat"/>
        <c:majorUnit val="0.25"/>
        <c:minorUnit val="0.125"/>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0F0F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HF = 1</c:v>
          </c:tx>
          <c:spPr>
            <a:ln>
              <a:solidFill>
                <a:srgbClr val="FFA7A7"/>
              </a:solidFill>
            </a:ln>
          </c:spPr>
          <c:marker>
            <c:symbol val="square"/>
            <c:size val="5"/>
            <c:spPr>
              <a:solidFill>
                <a:srgbClr val="FF0000"/>
              </a:solidFill>
              <a:ln>
                <a:solidFill>
                  <a:srgbClr val="FF0000"/>
                </a:solidFill>
                <a:prstDash val="solid"/>
              </a:ln>
            </c:spPr>
          </c:marker>
          <c:xVal>
            <c:numRef>
              <c:f>Output!$G$2:$G$64</c:f>
              <c:numCache>
                <c:formatCode>0.00</c:formatCode>
                <c:ptCount val="63"/>
                <c:pt idx="45">
                  <c:v>241.58713370038154</c:v>
                </c:pt>
                <c:pt idx="46">
                  <c:v>113.6880629178266</c:v>
                </c:pt>
                <c:pt idx="47">
                  <c:v>71.055039323641637</c:v>
                </c:pt>
                <c:pt idx="48">
                  <c:v>49.738527526549142</c:v>
                </c:pt>
                <c:pt idx="49">
                  <c:v>36.948620448293646</c:v>
                </c:pt>
                <c:pt idx="50">
                  <c:v>28.42201572945665</c:v>
                </c:pt>
                <c:pt idx="51">
                  <c:v>22.331583787430223</c:v>
                </c:pt>
                <c:pt idx="52">
                  <c:v>17.763759830910406</c:v>
                </c:pt>
                <c:pt idx="53">
                  <c:v>14.211007864728327</c:v>
                </c:pt>
                <c:pt idx="54">
                  <c:v>11.368806291782661</c:v>
                </c:pt>
                <c:pt idx="55">
                  <c:v>9.043368641190753</c:v>
                </c:pt>
                <c:pt idx="56">
                  <c:v>7.1055039323641642</c:v>
                </c:pt>
                <c:pt idx="57">
                  <c:v>5.4657722556647421</c:v>
                </c:pt>
                <c:pt idx="58">
                  <c:v>4.0602879613509515</c:v>
                </c:pt>
                <c:pt idx="59">
                  <c:v>2.8422015729456653</c:v>
                </c:pt>
                <c:pt idx="60">
                  <c:v>1.7763759830910411</c:v>
                </c:pt>
                <c:pt idx="61">
                  <c:v>0.83594163910166641</c:v>
                </c:pt>
              </c:numCache>
            </c:numRef>
          </c:xVal>
          <c:yVal>
            <c:numRef>
              <c:f>Output!$E$2:$E$64</c:f>
              <c:numCache>
                <c:formatCode>0.00</c:formatCode>
                <c:ptCount val="63"/>
                <c:pt idx="0">
                  <c:v>-11</c:v>
                </c:pt>
                <c:pt idx="1">
                  <c:v>-10.75</c:v>
                </c:pt>
                <c:pt idx="2">
                  <c:v>-10.5</c:v>
                </c:pt>
                <c:pt idx="3">
                  <c:v>-10.25</c:v>
                </c:pt>
                <c:pt idx="4">
                  <c:v>-10</c:v>
                </c:pt>
                <c:pt idx="5">
                  <c:v>-9.75</c:v>
                </c:pt>
                <c:pt idx="6">
                  <c:v>-9.5</c:v>
                </c:pt>
                <c:pt idx="7">
                  <c:v>-9.25</c:v>
                </c:pt>
                <c:pt idx="8">
                  <c:v>-9</c:v>
                </c:pt>
                <c:pt idx="9">
                  <c:v>-8.75</c:v>
                </c:pt>
                <c:pt idx="10">
                  <c:v>-8.5</c:v>
                </c:pt>
                <c:pt idx="11">
                  <c:v>-8.25</c:v>
                </c:pt>
                <c:pt idx="12">
                  <c:v>-8</c:v>
                </c:pt>
                <c:pt idx="13">
                  <c:v>-7.75</c:v>
                </c:pt>
                <c:pt idx="14">
                  <c:v>-7.5</c:v>
                </c:pt>
                <c:pt idx="15">
                  <c:v>-7.25</c:v>
                </c:pt>
                <c:pt idx="16">
                  <c:v>-7</c:v>
                </c:pt>
                <c:pt idx="17">
                  <c:v>-6.75</c:v>
                </c:pt>
                <c:pt idx="18">
                  <c:v>-6.5</c:v>
                </c:pt>
                <c:pt idx="19">
                  <c:v>-6.25</c:v>
                </c:pt>
                <c:pt idx="20">
                  <c:v>-6</c:v>
                </c:pt>
                <c:pt idx="21">
                  <c:v>-5.75</c:v>
                </c:pt>
                <c:pt idx="22">
                  <c:v>-5.5</c:v>
                </c:pt>
                <c:pt idx="23">
                  <c:v>-5.25</c:v>
                </c:pt>
                <c:pt idx="24">
                  <c:v>-5</c:v>
                </c:pt>
                <c:pt idx="25">
                  <c:v>-4.75</c:v>
                </c:pt>
                <c:pt idx="26">
                  <c:v>-4.5</c:v>
                </c:pt>
                <c:pt idx="27">
                  <c:v>-4.25</c:v>
                </c:pt>
                <c:pt idx="28">
                  <c:v>-4</c:v>
                </c:pt>
                <c:pt idx="29">
                  <c:v>-3.75</c:v>
                </c:pt>
                <c:pt idx="30">
                  <c:v>-3.5</c:v>
                </c:pt>
                <c:pt idx="31">
                  <c:v>-3.25</c:v>
                </c:pt>
                <c:pt idx="32">
                  <c:v>-3</c:v>
                </c:pt>
                <c:pt idx="33">
                  <c:v>-2.75</c:v>
                </c:pt>
                <c:pt idx="34">
                  <c:v>-2.5</c:v>
                </c:pt>
                <c:pt idx="35">
                  <c:v>-2.25</c:v>
                </c:pt>
                <c:pt idx="36">
                  <c:v>-2</c:v>
                </c:pt>
                <c:pt idx="37">
                  <c:v>-1.75</c:v>
                </c:pt>
                <c:pt idx="38">
                  <c:v>-1.5</c:v>
                </c:pt>
                <c:pt idx="39">
                  <c:v>-1.25</c:v>
                </c:pt>
                <c:pt idx="40">
                  <c:v>-1</c:v>
                </c:pt>
                <c:pt idx="41">
                  <c:v>-0.75</c:v>
                </c:pt>
                <c:pt idx="42">
                  <c:v>-0.5</c:v>
                </c:pt>
                <c:pt idx="43">
                  <c:v>-0.25</c:v>
                </c:pt>
                <c:pt idx="44">
                  <c:v>0</c:v>
                </c:pt>
                <c:pt idx="45">
                  <c:v>0.25</c:v>
                </c:pt>
                <c:pt idx="46">
                  <c:v>0.5</c:v>
                </c:pt>
                <c:pt idx="47">
                  <c:v>0.75</c:v>
                </c:pt>
                <c:pt idx="48">
                  <c:v>1</c:v>
                </c:pt>
                <c:pt idx="49">
                  <c:v>1.25</c:v>
                </c:pt>
                <c:pt idx="50">
                  <c:v>1.5</c:v>
                </c:pt>
                <c:pt idx="51">
                  <c:v>1.75</c:v>
                </c:pt>
                <c:pt idx="52">
                  <c:v>2</c:v>
                </c:pt>
                <c:pt idx="53">
                  <c:v>2.25</c:v>
                </c:pt>
                <c:pt idx="54">
                  <c:v>2.5</c:v>
                </c:pt>
                <c:pt idx="55">
                  <c:v>2.75</c:v>
                </c:pt>
                <c:pt idx="56">
                  <c:v>3</c:v>
                </c:pt>
                <c:pt idx="57">
                  <c:v>3.25</c:v>
                </c:pt>
                <c:pt idx="58">
                  <c:v>3.5</c:v>
                </c:pt>
                <c:pt idx="59">
                  <c:v>3.75</c:v>
                </c:pt>
                <c:pt idx="60">
                  <c:v>4</c:v>
                </c:pt>
                <c:pt idx="61">
                  <c:v>4.25</c:v>
                </c:pt>
                <c:pt idx="62">
                  <c:v>4.5</c:v>
                </c:pt>
              </c:numCache>
            </c:numRef>
          </c:yVal>
          <c:smooth val="0"/>
          <c:extLst>
            <c:ext xmlns:c16="http://schemas.microsoft.com/office/drawing/2014/chart" uri="{C3380CC4-5D6E-409C-BE32-E72D297353CC}">
              <c16:uniqueId val="{00000000-4309-42BE-AEAD-F412699323A6}"/>
            </c:ext>
          </c:extLst>
        </c:ser>
        <c:ser>
          <c:idx val="1"/>
          <c:order val="1"/>
          <c:spPr>
            <a:ln>
              <a:solidFill>
                <a:srgbClr val="FFA7A7"/>
              </a:solidFill>
            </a:ln>
          </c:spPr>
          <c:marker>
            <c:symbol val="square"/>
            <c:size val="5"/>
            <c:spPr>
              <a:solidFill>
                <a:srgbClr val="FF0000"/>
              </a:solidFill>
              <a:ln>
                <a:solidFill>
                  <a:srgbClr val="FF0000"/>
                </a:solidFill>
                <a:prstDash val="solid"/>
              </a:ln>
            </c:spPr>
          </c:marker>
          <c:xVal>
            <c:numRef>
              <c:f>Output!$G$65:$G$83</c:f>
              <c:numCache>
                <c:formatCode>0.00</c:formatCode>
                <c:ptCount val="19"/>
                <c:pt idx="1">
                  <c:v>241.58713370038154</c:v>
                </c:pt>
                <c:pt idx="2">
                  <c:v>113.6880629178266</c:v>
                </c:pt>
                <c:pt idx="3">
                  <c:v>71.055039323641637</c:v>
                </c:pt>
                <c:pt idx="4">
                  <c:v>49.738527526549142</c:v>
                </c:pt>
                <c:pt idx="5">
                  <c:v>36.948620448293646</c:v>
                </c:pt>
                <c:pt idx="6">
                  <c:v>28.42201572945665</c:v>
                </c:pt>
                <c:pt idx="7">
                  <c:v>22.331583787430223</c:v>
                </c:pt>
                <c:pt idx="8">
                  <c:v>17.763759830910406</c:v>
                </c:pt>
                <c:pt idx="9">
                  <c:v>14.211007864728327</c:v>
                </c:pt>
                <c:pt idx="10">
                  <c:v>11.368806291782661</c:v>
                </c:pt>
                <c:pt idx="11">
                  <c:v>9.043368641190753</c:v>
                </c:pt>
                <c:pt idx="12">
                  <c:v>7.1055039323641642</c:v>
                </c:pt>
                <c:pt idx="13">
                  <c:v>5.4657722556647421</c:v>
                </c:pt>
                <c:pt idx="14">
                  <c:v>4.0602879613509515</c:v>
                </c:pt>
                <c:pt idx="15">
                  <c:v>2.8422015729456653</c:v>
                </c:pt>
                <c:pt idx="16">
                  <c:v>1.7763759830910411</c:v>
                </c:pt>
                <c:pt idx="17">
                  <c:v>0.83594163910166641</c:v>
                </c:pt>
              </c:numCache>
            </c:numRef>
          </c:xVal>
          <c:yVal>
            <c:numRef>
              <c:f>Output!$E$65:$E$83</c:f>
              <c:numCache>
                <c:formatCode>0.00</c:formatCode>
                <c:ptCount val="19"/>
                <c:pt idx="0">
                  <c:v>10</c:v>
                </c:pt>
                <c:pt idx="1">
                  <c:v>9.75</c:v>
                </c:pt>
                <c:pt idx="2">
                  <c:v>9.5</c:v>
                </c:pt>
                <c:pt idx="3">
                  <c:v>9.25</c:v>
                </c:pt>
                <c:pt idx="4">
                  <c:v>9</c:v>
                </c:pt>
                <c:pt idx="5">
                  <c:v>8.75</c:v>
                </c:pt>
                <c:pt idx="6">
                  <c:v>8.5</c:v>
                </c:pt>
                <c:pt idx="7">
                  <c:v>8.25</c:v>
                </c:pt>
                <c:pt idx="8">
                  <c:v>8</c:v>
                </c:pt>
                <c:pt idx="9">
                  <c:v>7.75</c:v>
                </c:pt>
                <c:pt idx="10">
                  <c:v>7.5</c:v>
                </c:pt>
                <c:pt idx="11">
                  <c:v>7.25</c:v>
                </c:pt>
                <c:pt idx="12">
                  <c:v>7</c:v>
                </c:pt>
                <c:pt idx="13">
                  <c:v>6.75</c:v>
                </c:pt>
                <c:pt idx="14">
                  <c:v>6.5</c:v>
                </c:pt>
                <c:pt idx="15">
                  <c:v>6.25</c:v>
                </c:pt>
                <c:pt idx="16">
                  <c:v>6</c:v>
                </c:pt>
                <c:pt idx="17">
                  <c:v>5.75</c:v>
                </c:pt>
                <c:pt idx="18">
                  <c:v>5.5</c:v>
                </c:pt>
              </c:numCache>
            </c:numRef>
          </c:yVal>
          <c:smooth val="0"/>
          <c:extLst>
            <c:ext xmlns:c16="http://schemas.microsoft.com/office/drawing/2014/chart" uri="{C3380CC4-5D6E-409C-BE32-E72D297353CC}">
              <c16:uniqueId val="{00000001-4309-42BE-AEAD-F412699323A6}"/>
            </c:ext>
          </c:extLst>
        </c:ser>
        <c:ser>
          <c:idx val="2"/>
          <c:order val="2"/>
          <c:tx>
            <c:v>HF = 1 (acceleration inc.)</c:v>
          </c:tx>
          <c:spPr>
            <a:ln>
              <a:solidFill>
                <a:srgbClr val="FFA7A7"/>
              </a:solidFill>
            </a:ln>
          </c:spPr>
          <c:marker>
            <c:symbol val="triangle"/>
            <c:size val="7"/>
            <c:spPr>
              <a:solidFill>
                <a:srgbClr val="FFFFFF"/>
              </a:solidFill>
              <a:ln>
                <a:solidFill>
                  <a:srgbClr val="FF0000"/>
                </a:solidFill>
                <a:prstDash val="solid"/>
              </a:ln>
            </c:spPr>
          </c:marker>
          <c:xVal>
            <c:numRef>
              <c:f>Output!$H$2:$H$64</c:f>
              <c:numCache>
                <c:formatCode>0.00</c:formatCode>
                <c:ptCount val="63"/>
                <c:pt idx="44">
                  <c:v>68.980378767521842</c:v>
                </c:pt>
                <c:pt idx="45">
                  <c:v>40.558363038065195</c:v>
                </c:pt>
                <c:pt idx="46">
                  <c:v>31.084357794912975</c:v>
                </c:pt>
                <c:pt idx="47">
                  <c:v>25.399954649021645</c:v>
                </c:pt>
                <c:pt idx="48">
                  <c:v>21.339666687670693</c:v>
                </c:pt>
                <c:pt idx="49">
                  <c:v>18.181664939953286</c:v>
                </c:pt>
                <c:pt idx="50">
                  <c:v>15.597845328184501</c:v>
                </c:pt>
                <c:pt idx="51">
                  <c:v>13.411536425918605</c:v>
                </c:pt>
                <c:pt idx="52">
                  <c:v>11.516735377288162</c:v>
                </c:pt>
                <c:pt idx="53">
                  <c:v>9.8448520990848305</c:v>
                </c:pt>
                <c:pt idx="54">
                  <c:v>8.348956534376585</c:v>
                </c:pt>
                <c:pt idx="55">
                  <c:v>6.9955272139262688</c:v>
                </c:pt>
                <c:pt idx="56">
                  <c:v>5.7597873996020663</c:v>
                </c:pt>
                <c:pt idx="57">
                  <c:v>4.6229067704237998</c:v>
                </c:pt>
                <c:pt idx="58">
                  <c:v>3.5702395211846643</c:v>
                </c:pt>
                <c:pt idx="59">
                  <c:v>2.590170013272366</c:v>
                </c:pt>
                <c:pt idx="60">
                  <c:v>1.6733307961931192</c:v>
                </c:pt>
                <c:pt idx="61">
                  <c:v>0.81205759227019025</c:v>
                </c:pt>
              </c:numCache>
            </c:numRef>
          </c:xVal>
          <c:yVal>
            <c:numRef>
              <c:f>Output!$E$2:$E$64</c:f>
              <c:numCache>
                <c:formatCode>0.00</c:formatCode>
                <c:ptCount val="63"/>
                <c:pt idx="0">
                  <c:v>-11</c:v>
                </c:pt>
                <c:pt idx="1">
                  <c:v>-10.75</c:v>
                </c:pt>
                <c:pt idx="2">
                  <c:v>-10.5</c:v>
                </c:pt>
                <c:pt idx="3">
                  <c:v>-10.25</c:v>
                </c:pt>
                <c:pt idx="4">
                  <c:v>-10</c:v>
                </c:pt>
                <c:pt idx="5">
                  <c:v>-9.75</c:v>
                </c:pt>
                <c:pt idx="6">
                  <c:v>-9.5</c:v>
                </c:pt>
                <c:pt idx="7">
                  <c:v>-9.25</c:v>
                </c:pt>
                <c:pt idx="8">
                  <c:v>-9</c:v>
                </c:pt>
                <c:pt idx="9">
                  <c:v>-8.75</c:v>
                </c:pt>
                <c:pt idx="10">
                  <c:v>-8.5</c:v>
                </c:pt>
                <c:pt idx="11">
                  <c:v>-8.25</c:v>
                </c:pt>
                <c:pt idx="12">
                  <c:v>-8</c:v>
                </c:pt>
                <c:pt idx="13">
                  <c:v>-7.75</c:v>
                </c:pt>
                <c:pt idx="14">
                  <c:v>-7.5</c:v>
                </c:pt>
                <c:pt idx="15">
                  <c:v>-7.25</c:v>
                </c:pt>
                <c:pt idx="16">
                  <c:v>-7</c:v>
                </c:pt>
                <c:pt idx="17">
                  <c:v>-6.75</c:v>
                </c:pt>
                <c:pt idx="18">
                  <c:v>-6.5</c:v>
                </c:pt>
                <c:pt idx="19">
                  <c:v>-6.25</c:v>
                </c:pt>
                <c:pt idx="20">
                  <c:v>-6</c:v>
                </c:pt>
                <c:pt idx="21">
                  <c:v>-5.75</c:v>
                </c:pt>
                <c:pt idx="22">
                  <c:v>-5.5</c:v>
                </c:pt>
                <c:pt idx="23">
                  <c:v>-5.25</c:v>
                </c:pt>
                <c:pt idx="24">
                  <c:v>-5</c:v>
                </c:pt>
                <c:pt idx="25">
                  <c:v>-4.75</c:v>
                </c:pt>
                <c:pt idx="26">
                  <c:v>-4.5</c:v>
                </c:pt>
                <c:pt idx="27">
                  <c:v>-4.25</c:v>
                </c:pt>
                <c:pt idx="28">
                  <c:v>-4</c:v>
                </c:pt>
                <c:pt idx="29">
                  <c:v>-3.75</c:v>
                </c:pt>
                <c:pt idx="30">
                  <c:v>-3.5</c:v>
                </c:pt>
                <c:pt idx="31">
                  <c:v>-3.25</c:v>
                </c:pt>
                <c:pt idx="32">
                  <c:v>-3</c:v>
                </c:pt>
                <c:pt idx="33">
                  <c:v>-2.75</c:v>
                </c:pt>
                <c:pt idx="34">
                  <c:v>-2.5</c:v>
                </c:pt>
                <c:pt idx="35">
                  <c:v>-2.25</c:v>
                </c:pt>
                <c:pt idx="36">
                  <c:v>-2</c:v>
                </c:pt>
                <c:pt idx="37">
                  <c:v>-1.75</c:v>
                </c:pt>
                <c:pt idx="38">
                  <c:v>-1.5</c:v>
                </c:pt>
                <c:pt idx="39">
                  <c:v>-1.25</c:v>
                </c:pt>
                <c:pt idx="40">
                  <c:v>-1</c:v>
                </c:pt>
                <c:pt idx="41">
                  <c:v>-0.75</c:v>
                </c:pt>
                <c:pt idx="42">
                  <c:v>-0.5</c:v>
                </c:pt>
                <c:pt idx="43">
                  <c:v>-0.25</c:v>
                </c:pt>
                <c:pt idx="44">
                  <c:v>0</c:v>
                </c:pt>
                <c:pt idx="45">
                  <c:v>0.25</c:v>
                </c:pt>
                <c:pt idx="46">
                  <c:v>0.5</c:v>
                </c:pt>
                <c:pt idx="47">
                  <c:v>0.75</c:v>
                </c:pt>
                <c:pt idx="48">
                  <c:v>1</c:v>
                </c:pt>
                <c:pt idx="49">
                  <c:v>1.25</c:v>
                </c:pt>
                <c:pt idx="50">
                  <c:v>1.5</c:v>
                </c:pt>
                <c:pt idx="51">
                  <c:v>1.75</c:v>
                </c:pt>
                <c:pt idx="52">
                  <c:v>2</c:v>
                </c:pt>
                <c:pt idx="53">
                  <c:v>2.25</c:v>
                </c:pt>
                <c:pt idx="54">
                  <c:v>2.5</c:v>
                </c:pt>
                <c:pt idx="55">
                  <c:v>2.75</c:v>
                </c:pt>
                <c:pt idx="56">
                  <c:v>3</c:v>
                </c:pt>
                <c:pt idx="57">
                  <c:v>3.25</c:v>
                </c:pt>
                <c:pt idx="58">
                  <c:v>3.5</c:v>
                </c:pt>
                <c:pt idx="59">
                  <c:v>3.75</c:v>
                </c:pt>
                <c:pt idx="60">
                  <c:v>4</c:v>
                </c:pt>
                <c:pt idx="61">
                  <c:v>4.25</c:v>
                </c:pt>
                <c:pt idx="62">
                  <c:v>4.5</c:v>
                </c:pt>
              </c:numCache>
            </c:numRef>
          </c:yVal>
          <c:smooth val="0"/>
          <c:extLst>
            <c:ext xmlns:c16="http://schemas.microsoft.com/office/drawing/2014/chart" uri="{C3380CC4-5D6E-409C-BE32-E72D297353CC}">
              <c16:uniqueId val="{00000002-4309-42BE-AEAD-F412699323A6}"/>
            </c:ext>
          </c:extLst>
        </c:ser>
        <c:ser>
          <c:idx val="3"/>
          <c:order val="3"/>
          <c:spPr>
            <a:ln>
              <a:solidFill>
                <a:srgbClr val="FFA7A7"/>
              </a:solidFill>
            </a:ln>
          </c:spPr>
          <c:marker>
            <c:symbol val="triangle"/>
            <c:size val="7"/>
            <c:spPr>
              <a:solidFill>
                <a:srgbClr val="FFFFFF"/>
              </a:solidFill>
              <a:ln>
                <a:solidFill>
                  <a:srgbClr val="FF0000"/>
                </a:solidFill>
                <a:prstDash val="solid"/>
              </a:ln>
            </c:spPr>
          </c:marker>
          <c:xVal>
            <c:numRef>
              <c:f>Output!$H$65:$H$83</c:f>
              <c:numCache>
                <c:formatCode>0.00</c:formatCode>
                <c:ptCount val="19"/>
                <c:pt idx="0">
                  <c:v>68.980378767521842</c:v>
                </c:pt>
                <c:pt idx="1">
                  <c:v>40.558363038065195</c:v>
                </c:pt>
                <c:pt idx="2">
                  <c:v>31.084357794912975</c:v>
                </c:pt>
                <c:pt idx="3">
                  <c:v>25.399954649021645</c:v>
                </c:pt>
                <c:pt idx="4">
                  <c:v>21.339666687670693</c:v>
                </c:pt>
                <c:pt idx="5">
                  <c:v>18.181664939953286</c:v>
                </c:pt>
                <c:pt idx="6">
                  <c:v>15.597845328184501</c:v>
                </c:pt>
                <c:pt idx="7">
                  <c:v>13.411536425918605</c:v>
                </c:pt>
                <c:pt idx="8">
                  <c:v>11.516735377288162</c:v>
                </c:pt>
                <c:pt idx="9">
                  <c:v>9.8448520990848305</c:v>
                </c:pt>
                <c:pt idx="10">
                  <c:v>8.348956534376585</c:v>
                </c:pt>
                <c:pt idx="11">
                  <c:v>6.9955272139262688</c:v>
                </c:pt>
                <c:pt idx="12">
                  <c:v>5.7597873996020663</c:v>
                </c:pt>
                <c:pt idx="13">
                  <c:v>4.6229067704237998</c:v>
                </c:pt>
                <c:pt idx="14">
                  <c:v>3.5702395211846643</c:v>
                </c:pt>
                <c:pt idx="15">
                  <c:v>2.590170013272366</c:v>
                </c:pt>
                <c:pt idx="16">
                  <c:v>1.6733307961931192</c:v>
                </c:pt>
                <c:pt idx="17">
                  <c:v>0.81205759227019025</c:v>
                </c:pt>
              </c:numCache>
            </c:numRef>
          </c:xVal>
          <c:yVal>
            <c:numRef>
              <c:f>Output!$E$65:$E$83</c:f>
              <c:numCache>
                <c:formatCode>0.00</c:formatCode>
                <c:ptCount val="19"/>
                <c:pt idx="0">
                  <c:v>10</c:v>
                </c:pt>
                <c:pt idx="1">
                  <c:v>9.75</c:v>
                </c:pt>
                <c:pt idx="2">
                  <c:v>9.5</c:v>
                </c:pt>
                <c:pt idx="3">
                  <c:v>9.25</c:v>
                </c:pt>
                <c:pt idx="4">
                  <c:v>9</c:v>
                </c:pt>
                <c:pt idx="5">
                  <c:v>8.75</c:v>
                </c:pt>
                <c:pt idx="6">
                  <c:v>8.5</c:v>
                </c:pt>
                <c:pt idx="7">
                  <c:v>8.25</c:v>
                </c:pt>
                <c:pt idx="8">
                  <c:v>8</c:v>
                </c:pt>
                <c:pt idx="9">
                  <c:v>7.75</c:v>
                </c:pt>
                <c:pt idx="10">
                  <c:v>7.5</c:v>
                </c:pt>
                <c:pt idx="11">
                  <c:v>7.25</c:v>
                </c:pt>
                <c:pt idx="12">
                  <c:v>7</c:v>
                </c:pt>
                <c:pt idx="13">
                  <c:v>6.75</c:v>
                </c:pt>
                <c:pt idx="14">
                  <c:v>6.5</c:v>
                </c:pt>
                <c:pt idx="15">
                  <c:v>6.25</c:v>
                </c:pt>
                <c:pt idx="16">
                  <c:v>6</c:v>
                </c:pt>
                <c:pt idx="17">
                  <c:v>5.75</c:v>
                </c:pt>
                <c:pt idx="18">
                  <c:v>5.5</c:v>
                </c:pt>
              </c:numCache>
            </c:numRef>
          </c:yVal>
          <c:smooth val="0"/>
          <c:extLst>
            <c:ext xmlns:c16="http://schemas.microsoft.com/office/drawing/2014/chart" uri="{C3380CC4-5D6E-409C-BE32-E72D297353CC}">
              <c16:uniqueId val="{00000003-4309-42BE-AEAD-F412699323A6}"/>
            </c:ext>
          </c:extLst>
        </c:ser>
        <c:ser>
          <c:idx val="4"/>
          <c:order val="4"/>
          <c:tx>
            <c:v>Water Level</c:v>
          </c:tx>
          <c:spPr>
            <a:ln>
              <a:solidFill>
                <a:srgbClr val="00B0F0"/>
              </a:solidFill>
            </a:ln>
          </c:spPr>
          <c:marker>
            <c:symbol val="none"/>
          </c:marker>
          <c:xVal>
            <c:numLit>
              <c:formatCode>General</c:formatCode>
              <c:ptCount val="2"/>
              <c:pt idx="0">
                <c:v>0.1</c:v>
              </c:pt>
              <c:pt idx="1">
                <c:v>373326.04751642997</c:v>
              </c:pt>
            </c:numLit>
          </c:xVal>
          <c:yVal>
            <c:numLit>
              <c:formatCode>General</c:formatCode>
              <c:ptCount val="2"/>
              <c:pt idx="0">
                <c:v>-11</c:v>
              </c:pt>
              <c:pt idx="1">
                <c:v>-11</c:v>
              </c:pt>
            </c:numLit>
          </c:yVal>
          <c:smooth val="0"/>
          <c:extLst>
            <c:ext xmlns:c16="http://schemas.microsoft.com/office/drawing/2014/chart" uri="{C3380CC4-5D6E-409C-BE32-E72D297353CC}">
              <c16:uniqueId val="{00000004-4309-42BE-AEAD-F412699323A6}"/>
            </c:ext>
          </c:extLst>
        </c:ser>
        <c:ser>
          <c:idx val="5"/>
          <c:order val="5"/>
          <c:tx>
            <c:v>Top of Screen</c:v>
          </c:tx>
          <c:spPr>
            <a:ln>
              <a:solidFill>
                <a:srgbClr val="000000"/>
              </a:solidFill>
              <a:prstDash val="dash"/>
            </a:ln>
          </c:spPr>
          <c:marker>
            <c:symbol val="none"/>
          </c:marker>
          <c:xVal>
            <c:numLit>
              <c:formatCode>General</c:formatCode>
              <c:ptCount val="2"/>
              <c:pt idx="0">
                <c:v>0.1</c:v>
              </c:pt>
              <c:pt idx="1">
                <c:v>373326.04751642997</c:v>
              </c:pt>
            </c:numLit>
          </c:xVal>
          <c:yVal>
            <c:numLit>
              <c:formatCode>General</c:formatCode>
              <c:ptCount val="2"/>
              <c:pt idx="0">
                <c:v>0</c:v>
              </c:pt>
              <c:pt idx="1">
                <c:v>0</c:v>
              </c:pt>
            </c:numLit>
          </c:yVal>
          <c:smooth val="0"/>
          <c:extLst>
            <c:ext xmlns:c16="http://schemas.microsoft.com/office/drawing/2014/chart" uri="{C3380CC4-5D6E-409C-BE32-E72D297353CC}">
              <c16:uniqueId val="{00000005-4309-42BE-AEAD-F412699323A6}"/>
            </c:ext>
          </c:extLst>
        </c:ser>
        <c:ser>
          <c:idx val="6"/>
          <c:order val="6"/>
          <c:tx>
            <c:v>Bottom of Screen</c:v>
          </c:tx>
          <c:spPr>
            <a:ln>
              <a:solidFill>
                <a:srgbClr val="FFCC33"/>
              </a:solidFill>
            </a:ln>
          </c:spPr>
          <c:marker>
            <c:symbol val="none"/>
          </c:marker>
          <c:xVal>
            <c:numLit>
              <c:formatCode>General</c:formatCode>
              <c:ptCount val="2"/>
              <c:pt idx="0">
                <c:v>0.1</c:v>
              </c:pt>
              <c:pt idx="1">
                <c:v>373326.04751642997</c:v>
              </c:pt>
            </c:numLit>
          </c:xVal>
          <c:yVal>
            <c:numLit>
              <c:formatCode>General</c:formatCode>
              <c:ptCount val="2"/>
              <c:pt idx="0">
                <c:v>10</c:v>
              </c:pt>
              <c:pt idx="1">
                <c:v>10</c:v>
              </c:pt>
            </c:numLit>
          </c:yVal>
          <c:smooth val="0"/>
          <c:extLst>
            <c:ext xmlns:c16="http://schemas.microsoft.com/office/drawing/2014/chart" uri="{C3380CC4-5D6E-409C-BE32-E72D297353CC}">
              <c16:uniqueId val="{00000006-4309-42BE-AEAD-F412699323A6}"/>
            </c:ext>
          </c:extLst>
        </c:ser>
        <c:ser>
          <c:idx val="7"/>
          <c:order val="7"/>
          <c:tx>
            <c:v>Pump Mixing Boundary</c:v>
          </c:tx>
          <c:spPr>
            <a:ln>
              <a:solidFill>
                <a:srgbClr val="66FF66"/>
              </a:solidFill>
            </a:ln>
          </c:spPr>
          <c:marker>
            <c:symbol val="none"/>
          </c:marker>
          <c:xVal>
            <c:numLit>
              <c:formatCode>General</c:formatCode>
              <c:ptCount val="2"/>
              <c:pt idx="0">
                <c:v>0.1</c:v>
              </c:pt>
              <c:pt idx="1">
                <c:v>373326.04751642997</c:v>
              </c:pt>
            </c:numLit>
          </c:xVal>
          <c:yVal>
            <c:numLit>
              <c:formatCode>General</c:formatCode>
              <c:ptCount val="2"/>
              <c:pt idx="0">
                <c:v>5.5</c:v>
              </c:pt>
              <c:pt idx="1">
                <c:v>5.5</c:v>
              </c:pt>
            </c:numLit>
          </c:yVal>
          <c:smooth val="0"/>
          <c:extLst>
            <c:ext xmlns:c16="http://schemas.microsoft.com/office/drawing/2014/chart" uri="{C3380CC4-5D6E-409C-BE32-E72D297353CC}">
              <c16:uniqueId val="{00000007-4309-42BE-AEAD-F412699323A6}"/>
            </c:ext>
          </c:extLst>
        </c:ser>
        <c:ser>
          <c:idx val="8"/>
          <c:order val="8"/>
          <c:spPr>
            <a:ln>
              <a:solidFill>
                <a:srgbClr val="66FF66"/>
              </a:solidFill>
            </a:ln>
          </c:spPr>
          <c:marker>
            <c:symbol val="none"/>
          </c:marker>
          <c:dLbls>
            <c:dLbl>
              <c:idx val="0"/>
              <c:layout>
                <c:manualLayout>
                  <c:x val="0.39583333333333343"/>
                  <c:y val="1.8045112781954888E-2"/>
                </c:manualLayout>
              </c:layout>
              <c:tx>
                <c:rich>
                  <a:bodyPr wrap="square" lIns="38100" tIns="19050" rIns="38100" bIns="19050" anchor="ctr">
                    <a:spAutoFit/>
                  </a:bodyPr>
                  <a:lstStyle/>
                  <a:p>
                    <a:pPr>
                      <a:defRPr sz="1400">
                        <a:solidFill>
                          <a:srgbClr val="66FF66"/>
                        </a:solidFill>
                      </a:defRPr>
                    </a:pPr>
                    <a:r>
                      <a:rPr lang="en-US" sz="1400">
                        <a:solidFill>
                          <a:srgbClr val="66FF66"/>
                        </a:solidFill>
                      </a:rPr>
                      <a:t>PUMP</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0.20833333333333334"/>
                      <c:h val="3.048629447634835E-2"/>
                    </c:manualLayout>
                  </c15:layout>
                </c:ext>
                <c:ext xmlns:c16="http://schemas.microsoft.com/office/drawing/2014/chart" uri="{C3380CC4-5D6E-409C-BE32-E72D297353CC}">
                  <c16:uniqueId val="{00000009-4309-42BE-AEAD-F412699323A6}"/>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0.1</c:v>
              </c:pt>
              <c:pt idx="1">
                <c:v>373326.04751642997</c:v>
              </c:pt>
            </c:numLit>
          </c:xVal>
          <c:yVal>
            <c:numLit>
              <c:formatCode>General</c:formatCode>
              <c:ptCount val="2"/>
              <c:pt idx="0">
                <c:v>4.5</c:v>
              </c:pt>
              <c:pt idx="1">
                <c:v>4.5</c:v>
              </c:pt>
            </c:numLit>
          </c:yVal>
          <c:smooth val="0"/>
          <c:extLst>
            <c:ext xmlns:c16="http://schemas.microsoft.com/office/drawing/2014/chart" uri="{C3380CC4-5D6E-409C-BE32-E72D297353CC}">
              <c16:uniqueId val="{00000008-4309-42BE-AEAD-F412699323A6}"/>
            </c:ext>
          </c:extLst>
        </c:ser>
        <c:dLbls>
          <c:showLegendKey val="0"/>
          <c:showVal val="0"/>
          <c:showCatName val="0"/>
          <c:showSerName val="0"/>
          <c:showPercent val="0"/>
          <c:showBubbleSize val="0"/>
        </c:dLbls>
        <c:axId val="647429472"/>
        <c:axId val="648076944"/>
      </c:scatterChart>
      <c:valAx>
        <c:axId val="647429472"/>
        <c:scaling>
          <c:logBase val="10"/>
          <c:orientation val="minMax"/>
          <c:max val="38000"/>
          <c:min val="0.1"/>
        </c:scaling>
        <c:delete val="0"/>
        <c:axPos val="t"/>
        <c:title>
          <c:tx>
            <c:rich>
              <a:bodyPr/>
              <a:lstStyle/>
              <a:p>
                <a:pPr>
                  <a:defRPr/>
                </a:pPr>
                <a:r>
                  <a:rPr lang="en-US"/>
                  <a:t>Travel Time to Pump, min</a:t>
                </a:r>
              </a:p>
            </c:rich>
          </c:tx>
          <c:overlay val="0"/>
        </c:title>
        <c:numFmt formatCode="0.00" sourceLinked="1"/>
        <c:majorTickMark val="out"/>
        <c:minorTickMark val="none"/>
        <c:tickLblPos val="nextTo"/>
        <c:crossAx val="648076944"/>
        <c:crossesAt val="-12"/>
        <c:crossBetween val="midCat"/>
      </c:valAx>
      <c:valAx>
        <c:axId val="648076944"/>
        <c:scaling>
          <c:orientation val="maxMin"/>
          <c:max val="10"/>
          <c:min val="-12"/>
        </c:scaling>
        <c:delete val="0"/>
        <c:axPos val="l"/>
        <c:majorGridlines>
          <c:spPr>
            <a:ln w="6350" cap="flat" cmpd="sng" algn="ctr">
              <a:solidFill>
                <a:sysClr val="windowText" lastClr="000000">
                  <a:alpha val="15000"/>
                </a:sysClr>
              </a:solidFill>
              <a:prstDash val="solid"/>
              <a:round/>
              <a:headEnd type="none" w="med" len="med"/>
              <a:tailEnd type="none" w="med" len="med"/>
            </a:ln>
          </c:spPr>
        </c:majorGridlines>
        <c:title>
          <c:tx>
            <c:rich>
              <a:bodyPr rot="-5400000" vert="horz"/>
              <a:lstStyle/>
              <a:p>
                <a:pPr>
                  <a:defRPr/>
                </a:pPr>
                <a:r>
                  <a:rPr lang="en-US"/>
                  <a:t>Position from Top of Screen, feet</a:t>
                </a:r>
              </a:p>
            </c:rich>
          </c:tx>
          <c:overlay val="0"/>
        </c:title>
        <c:numFmt formatCode="0.00" sourceLinked="1"/>
        <c:majorTickMark val="out"/>
        <c:minorTickMark val="none"/>
        <c:tickLblPos val="nextTo"/>
        <c:crossAx val="647429472"/>
        <c:crossesAt val="0.1"/>
        <c:crossBetween val="midCat"/>
        <c:majorUnit val="0.25"/>
        <c:minorUnit val="0.125"/>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0F0F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HF = 1</c:v>
          </c:tx>
          <c:spPr>
            <a:ln>
              <a:solidFill>
                <a:srgbClr val="FFA7A7"/>
              </a:solidFill>
            </a:ln>
          </c:spPr>
          <c:marker>
            <c:symbol val="square"/>
            <c:size val="5"/>
            <c:spPr>
              <a:solidFill>
                <a:srgbClr val="FF0000"/>
              </a:solidFill>
              <a:ln>
                <a:solidFill>
                  <a:srgbClr val="FF0000"/>
                </a:solidFill>
                <a:prstDash val="solid"/>
              </a:ln>
            </c:spPr>
          </c:marker>
          <c:xVal>
            <c:numRef>
              <c:f>Output!$G$2:$G$64</c:f>
              <c:numCache>
                <c:formatCode>0.00</c:formatCode>
                <c:ptCount val="63"/>
                <c:pt idx="45">
                  <c:v>241.58713370038154</c:v>
                </c:pt>
                <c:pt idx="46">
                  <c:v>113.6880629178266</c:v>
                </c:pt>
                <c:pt idx="47">
                  <c:v>71.055039323641637</c:v>
                </c:pt>
                <c:pt idx="48">
                  <c:v>49.738527526549142</c:v>
                </c:pt>
                <c:pt idx="49">
                  <c:v>36.948620448293646</c:v>
                </c:pt>
                <c:pt idx="50">
                  <c:v>28.42201572945665</c:v>
                </c:pt>
                <c:pt idx="51">
                  <c:v>22.331583787430223</c:v>
                </c:pt>
                <c:pt idx="52">
                  <c:v>17.763759830910406</c:v>
                </c:pt>
                <c:pt idx="53">
                  <c:v>14.211007864728327</c:v>
                </c:pt>
                <c:pt idx="54">
                  <c:v>11.368806291782661</c:v>
                </c:pt>
                <c:pt idx="55">
                  <c:v>9.043368641190753</c:v>
                </c:pt>
                <c:pt idx="56">
                  <c:v>7.1055039323641642</c:v>
                </c:pt>
                <c:pt idx="57">
                  <c:v>5.4657722556647421</c:v>
                </c:pt>
                <c:pt idx="58">
                  <c:v>4.0602879613509515</c:v>
                </c:pt>
                <c:pt idx="59">
                  <c:v>2.8422015729456653</c:v>
                </c:pt>
                <c:pt idx="60">
                  <c:v>1.7763759830910411</c:v>
                </c:pt>
                <c:pt idx="61">
                  <c:v>0.83594163910166641</c:v>
                </c:pt>
              </c:numCache>
            </c:numRef>
          </c:xVal>
          <c:yVal>
            <c:numRef>
              <c:f>Output!$E$2:$E$64</c:f>
              <c:numCache>
                <c:formatCode>0.00</c:formatCode>
                <c:ptCount val="63"/>
                <c:pt idx="0">
                  <c:v>-11</c:v>
                </c:pt>
                <c:pt idx="1">
                  <c:v>-10.75</c:v>
                </c:pt>
                <c:pt idx="2">
                  <c:v>-10.5</c:v>
                </c:pt>
                <c:pt idx="3">
                  <c:v>-10.25</c:v>
                </c:pt>
                <c:pt idx="4">
                  <c:v>-10</c:v>
                </c:pt>
                <c:pt idx="5">
                  <c:v>-9.75</c:v>
                </c:pt>
                <c:pt idx="6">
                  <c:v>-9.5</c:v>
                </c:pt>
                <c:pt idx="7">
                  <c:v>-9.25</c:v>
                </c:pt>
                <c:pt idx="8">
                  <c:v>-9</c:v>
                </c:pt>
                <c:pt idx="9">
                  <c:v>-8.75</c:v>
                </c:pt>
                <c:pt idx="10">
                  <c:v>-8.5</c:v>
                </c:pt>
                <c:pt idx="11">
                  <c:v>-8.25</c:v>
                </c:pt>
                <c:pt idx="12">
                  <c:v>-8</c:v>
                </c:pt>
                <c:pt idx="13">
                  <c:v>-7.75</c:v>
                </c:pt>
                <c:pt idx="14">
                  <c:v>-7.5</c:v>
                </c:pt>
                <c:pt idx="15">
                  <c:v>-7.25</c:v>
                </c:pt>
                <c:pt idx="16">
                  <c:v>-7</c:v>
                </c:pt>
                <c:pt idx="17">
                  <c:v>-6.75</c:v>
                </c:pt>
                <c:pt idx="18">
                  <c:v>-6.5</c:v>
                </c:pt>
                <c:pt idx="19">
                  <c:v>-6.25</c:v>
                </c:pt>
                <c:pt idx="20">
                  <c:v>-6</c:v>
                </c:pt>
                <c:pt idx="21">
                  <c:v>-5.75</c:v>
                </c:pt>
                <c:pt idx="22">
                  <c:v>-5.5</c:v>
                </c:pt>
                <c:pt idx="23">
                  <c:v>-5.25</c:v>
                </c:pt>
                <c:pt idx="24">
                  <c:v>-5</c:v>
                </c:pt>
                <c:pt idx="25">
                  <c:v>-4.75</c:v>
                </c:pt>
                <c:pt idx="26">
                  <c:v>-4.5</c:v>
                </c:pt>
                <c:pt idx="27">
                  <c:v>-4.25</c:v>
                </c:pt>
                <c:pt idx="28">
                  <c:v>-4</c:v>
                </c:pt>
                <c:pt idx="29">
                  <c:v>-3.75</c:v>
                </c:pt>
                <c:pt idx="30">
                  <c:v>-3.5</c:v>
                </c:pt>
                <c:pt idx="31">
                  <c:v>-3.25</c:v>
                </c:pt>
                <c:pt idx="32">
                  <c:v>-3</c:v>
                </c:pt>
                <c:pt idx="33">
                  <c:v>-2.75</c:v>
                </c:pt>
                <c:pt idx="34">
                  <c:v>-2.5</c:v>
                </c:pt>
                <c:pt idx="35">
                  <c:v>-2.25</c:v>
                </c:pt>
                <c:pt idx="36">
                  <c:v>-2</c:v>
                </c:pt>
                <c:pt idx="37">
                  <c:v>-1.75</c:v>
                </c:pt>
                <c:pt idx="38">
                  <c:v>-1.5</c:v>
                </c:pt>
                <c:pt idx="39">
                  <c:v>-1.25</c:v>
                </c:pt>
                <c:pt idx="40">
                  <c:v>-1</c:v>
                </c:pt>
                <c:pt idx="41">
                  <c:v>-0.75</c:v>
                </c:pt>
                <c:pt idx="42">
                  <c:v>-0.5</c:v>
                </c:pt>
                <c:pt idx="43">
                  <c:v>-0.25</c:v>
                </c:pt>
                <c:pt idx="44">
                  <c:v>0</c:v>
                </c:pt>
                <c:pt idx="45">
                  <c:v>0.25</c:v>
                </c:pt>
                <c:pt idx="46">
                  <c:v>0.5</c:v>
                </c:pt>
                <c:pt idx="47">
                  <c:v>0.75</c:v>
                </c:pt>
                <c:pt idx="48">
                  <c:v>1</c:v>
                </c:pt>
                <c:pt idx="49">
                  <c:v>1.25</c:v>
                </c:pt>
                <c:pt idx="50">
                  <c:v>1.5</c:v>
                </c:pt>
                <c:pt idx="51">
                  <c:v>1.75</c:v>
                </c:pt>
                <c:pt idx="52">
                  <c:v>2</c:v>
                </c:pt>
                <c:pt idx="53">
                  <c:v>2.25</c:v>
                </c:pt>
                <c:pt idx="54">
                  <c:v>2.5</c:v>
                </c:pt>
                <c:pt idx="55">
                  <c:v>2.75</c:v>
                </c:pt>
                <c:pt idx="56">
                  <c:v>3</c:v>
                </c:pt>
                <c:pt idx="57">
                  <c:v>3.25</c:v>
                </c:pt>
                <c:pt idx="58">
                  <c:v>3.5</c:v>
                </c:pt>
                <c:pt idx="59">
                  <c:v>3.75</c:v>
                </c:pt>
                <c:pt idx="60">
                  <c:v>4</c:v>
                </c:pt>
                <c:pt idx="61">
                  <c:v>4.25</c:v>
                </c:pt>
                <c:pt idx="62">
                  <c:v>4.5</c:v>
                </c:pt>
              </c:numCache>
            </c:numRef>
          </c:yVal>
          <c:smooth val="0"/>
          <c:extLst>
            <c:ext xmlns:c16="http://schemas.microsoft.com/office/drawing/2014/chart" uri="{C3380CC4-5D6E-409C-BE32-E72D297353CC}">
              <c16:uniqueId val="{00000000-7A8E-43EE-8660-1F0954343213}"/>
            </c:ext>
          </c:extLst>
        </c:ser>
        <c:ser>
          <c:idx val="1"/>
          <c:order val="1"/>
          <c:spPr>
            <a:ln>
              <a:solidFill>
                <a:srgbClr val="FFA7A7"/>
              </a:solidFill>
            </a:ln>
          </c:spPr>
          <c:marker>
            <c:symbol val="square"/>
            <c:size val="5"/>
            <c:spPr>
              <a:solidFill>
                <a:srgbClr val="FF0000"/>
              </a:solidFill>
              <a:ln>
                <a:solidFill>
                  <a:srgbClr val="FF0000"/>
                </a:solidFill>
                <a:prstDash val="solid"/>
              </a:ln>
            </c:spPr>
          </c:marker>
          <c:xVal>
            <c:numRef>
              <c:f>Output!$G$65:$G$83</c:f>
              <c:numCache>
                <c:formatCode>0.00</c:formatCode>
                <c:ptCount val="19"/>
                <c:pt idx="1">
                  <c:v>241.58713370038154</c:v>
                </c:pt>
                <c:pt idx="2">
                  <c:v>113.6880629178266</c:v>
                </c:pt>
                <c:pt idx="3">
                  <c:v>71.055039323641637</c:v>
                </c:pt>
                <c:pt idx="4">
                  <c:v>49.738527526549142</c:v>
                </c:pt>
                <c:pt idx="5">
                  <c:v>36.948620448293646</c:v>
                </c:pt>
                <c:pt idx="6">
                  <c:v>28.42201572945665</c:v>
                </c:pt>
                <c:pt idx="7">
                  <c:v>22.331583787430223</c:v>
                </c:pt>
                <c:pt idx="8">
                  <c:v>17.763759830910406</c:v>
                </c:pt>
                <c:pt idx="9">
                  <c:v>14.211007864728327</c:v>
                </c:pt>
                <c:pt idx="10">
                  <c:v>11.368806291782661</c:v>
                </c:pt>
                <c:pt idx="11">
                  <c:v>9.043368641190753</c:v>
                </c:pt>
                <c:pt idx="12">
                  <c:v>7.1055039323641642</c:v>
                </c:pt>
                <c:pt idx="13">
                  <c:v>5.4657722556647421</c:v>
                </c:pt>
                <c:pt idx="14">
                  <c:v>4.0602879613509515</c:v>
                </c:pt>
                <c:pt idx="15">
                  <c:v>2.8422015729456653</c:v>
                </c:pt>
                <c:pt idx="16">
                  <c:v>1.7763759830910411</c:v>
                </c:pt>
                <c:pt idx="17">
                  <c:v>0.83594163910166641</c:v>
                </c:pt>
              </c:numCache>
            </c:numRef>
          </c:xVal>
          <c:yVal>
            <c:numRef>
              <c:f>Output!$E$65:$E$83</c:f>
              <c:numCache>
                <c:formatCode>0.00</c:formatCode>
                <c:ptCount val="19"/>
                <c:pt idx="0">
                  <c:v>10</c:v>
                </c:pt>
                <c:pt idx="1">
                  <c:v>9.75</c:v>
                </c:pt>
                <c:pt idx="2">
                  <c:v>9.5</c:v>
                </c:pt>
                <c:pt idx="3">
                  <c:v>9.25</c:v>
                </c:pt>
                <c:pt idx="4">
                  <c:v>9</c:v>
                </c:pt>
                <c:pt idx="5">
                  <c:v>8.75</c:v>
                </c:pt>
                <c:pt idx="6">
                  <c:v>8.5</c:v>
                </c:pt>
                <c:pt idx="7">
                  <c:v>8.25</c:v>
                </c:pt>
                <c:pt idx="8">
                  <c:v>8</c:v>
                </c:pt>
                <c:pt idx="9">
                  <c:v>7.75</c:v>
                </c:pt>
                <c:pt idx="10">
                  <c:v>7.5</c:v>
                </c:pt>
                <c:pt idx="11">
                  <c:v>7.25</c:v>
                </c:pt>
                <c:pt idx="12">
                  <c:v>7</c:v>
                </c:pt>
                <c:pt idx="13">
                  <c:v>6.75</c:v>
                </c:pt>
                <c:pt idx="14">
                  <c:v>6.5</c:v>
                </c:pt>
                <c:pt idx="15">
                  <c:v>6.25</c:v>
                </c:pt>
                <c:pt idx="16">
                  <c:v>6</c:v>
                </c:pt>
                <c:pt idx="17">
                  <c:v>5.75</c:v>
                </c:pt>
                <c:pt idx="18">
                  <c:v>5.5</c:v>
                </c:pt>
              </c:numCache>
            </c:numRef>
          </c:yVal>
          <c:smooth val="0"/>
          <c:extLst>
            <c:ext xmlns:c16="http://schemas.microsoft.com/office/drawing/2014/chart" uri="{C3380CC4-5D6E-409C-BE32-E72D297353CC}">
              <c16:uniqueId val="{00000001-7A8E-43EE-8660-1F0954343213}"/>
            </c:ext>
          </c:extLst>
        </c:ser>
        <c:ser>
          <c:idx val="2"/>
          <c:order val="2"/>
          <c:tx>
            <c:v>HF = 1 (acceleration inc.)</c:v>
          </c:tx>
          <c:spPr>
            <a:ln>
              <a:solidFill>
                <a:srgbClr val="FFA7A7"/>
              </a:solidFill>
            </a:ln>
          </c:spPr>
          <c:marker>
            <c:symbol val="triangle"/>
            <c:size val="7"/>
            <c:spPr>
              <a:solidFill>
                <a:srgbClr val="FFFFFF"/>
              </a:solidFill>
              <a:ln>
                <a:solidFill>
                  <a:srgbClr val="FF0000"/>
                </a:solidFill>
                <a:prstDash val="solid"/>
              </a:ln>
            </c:spPr>
          </c:marker>
          <c:xVal>
            <c:numRef>
              <c:f>Output!$H$2:$H$64</c:f>
              <c:numCache>
                <c:formatCode>0.00</c:formatCode>
                <c:ptCount val="63"/>
                <c:pt idx="44">
                  <c:v>68.980378767521842</c:v>
                </c:pt>
                <c:pt idx="45">
                  <c:v>40.558363038065195</c:v>
                </c:pt>
                <c:pt idx="46">
                  <c:v>31.084357794912975</c:v>
                </c:pt>
                <c:pt idx="47">
                  <c:v>25.399954649021645</c:v>
                </c:pt>
                <c:pt idx="48">
                  <c:v>21.339666687670693</c:v>
                </c:pt>
                <c:pt idx="49">
                  <c:v>18.181664939953286</c:v>
                </c:pt>
                <c:pt idx="50">
                  <c:v>15.597845328184501</c:v>
                </c:pt>
                <c:pt idx="51">
                  <c:v>13.411536425918605</c:v>
                </c:pt>
                <c:pt idx="52">
                  <c:v>11.516735377288162</c:v>
                </c:pt>
                <c:pt idx="53">
                  <c:v>9.8448520990848305</c:v>
                </c:pt>
                <c:pt idx="54">
                  <c:v>8.348956534376585</c:v>
                </c:pt>
                <c:pt idx="55">
                  <c:v>6.9955272139262688</c:v>
                </c:pt>
                <c:pt idx="56">
                  <c:v>5.7597873996020663</c:v>
                </c:pt>
                <c:pt idx="57">
                  <c:v>4.6229067704237998</c:v>
                </c:pt>
                <c:pt idx="58">
                  <c:v>3.5702395211846643</c:v>
                </c:pt>
                <c:pt idx="59">
                  <c:v>2.590170013272366</c:v>
                </c:pt>
                <c:pt idx="60">
                  <c:v>1.6733307961931192</c:v>
                </c:pt>
                <c:pt idx="61">
                  <c:v>0.81205759227019025</c:v>
                </c:pt>
              </c:numCache>
            </c:numRef>
          </c:xVal>
          <c:yVal>
            <c:numRef>
              <c:f>Output!$E$2:$E$64</c:f>
              <c:numCache>
                <c:formatCode>0.00</c:formatCode>
                <c:ptCount val="63"/>
                <c:pt idx="0">
                  <c:v>-11</c:v>
                </c:pt>
                <c:pt idx="1">
                  <c:v>-10.75</c:v>
                </c:pt>
                <c:pt idx="2">
                  <c:v>-10.5</c:v>
                </c:pt>
                <c:pt idx="3">
                  <c:v>-10.25</c:v>
                </c:pt>
                <c:pt idx="4">
                  <c:v>-10</c:v>
                </c:pt>
                <c:pt idx="5">
                  <c:v>-9.75</c:v>
                </c:pt>
                <c:pt idx="6">
                  <c:v>-9.5</c:v>
                </c:pt>
                <c:pt idx="7">
                  <c:v>-9.25</c:v>
                </c:pt>
                <c:pt idx="8">
                  <c:v>-9</c:v>
                </c:pt>
                <c:pt idx="9">
                  <c:v>-8.75</c:v>
                </c:pt>
                <c:pt idx="10">
                  <c:v>-8.5</c:v>
                </c:pt>
                <c:pt idx="11">
                  <c:v>-8.25</c:v>
                </c:pt>
                <c:pt idx="12">
                  <c:v>-8</c:v>
                </c:pt>
                <c:pt idx="13">
                  <c:v>-7.75</c:v>
                </c:pt>
                <c:pt idx="14">
                  <c:v>-7.5</c:v>
                </c:pt>
                <c:pt idx="15">
                  <c:v>-7.25</c:v>
                </c:pt>
                <c:pt idx="16">
                  <c:v>-7</c:v>
                </c:pt>
                <c:pt idx="17">
                  <c:v>-6.75</c:v>
                </c:pt>
                <c:pt idx="18">
                  <c:v>-6.5</c:v>
                </c:pt>
                <c:pt idx="19">
                  <c:v>-6.25</c:v>
                </c:pt>
                <c:pt idx="20">
                  <c:v>-6</c:v>
                </c:pt>
                <c:pt idx="21">
                  <c:v>-5.75</c:v>
                </c:pt>
                <c:pt idx="22">
                  <c:v>-5.5</c:v>
                </c:pt>
                <c:pt idx="23">
                  <c:v>-5.25</c:v>
                </c:pt>
                <c:pt idx="24">
                  <c:v>-5</c:v>
                </c:pt>
                <c:pt idx="25">
                  <c:v>-4.75</c:v>
                </c:pt>
                <c:pt idx="26">
                  <c:v>-4.5</c:v>
                </c:pt>
                <c:pt idx="27">
                  <c:v>-4.25</c:v>
                </c:pt>
                <c:pt idx="28">
                  <c:v>-4</c:v>
                </c:pt>
                <c:pt idx="29">
                  <c:v>-3.75</c:v>
                </c:pt>
                <c:pt idx="30">
                  <c:v>-3.5</c:v>
                </c:pt>
                <c:pt idx="31">
                  <c:v>-3.25</c:v>
                </c:pt>
                <c:pt idx="32">
                  <c:v>-3</c:v>
                </c:pt>
                <c:pt idx="33">
                  <c:v>-2.75</c:v>
                </c:pt>
                <c:pt idx="34">
                  <c:v>-2.5</c:v>
                </c:pt>
                <c:pt idx="35">
                  <c:v>-2.25</c:v>
                </c:pt>
                <c:pt idx="36">
                  <c:v>-2</c:v>
                </c:pt>
                <c:pt idx="37">
                  <c:v>-1.75</c:v>
                </c:pt>
                <c:pt idx="38">
                  <c:v>-1.5</c:v>
                </c:pt>
                <c:pt idx="39">
                  <c:v>-1.25</c:v>
                </c:pt>
                <c:pt idx="40">
                  <c:v>-1</c:v>
                </c:pt>
                <c:pt idx="41">
                  <c:v>-0.75</c:v>
                </c:pt>
                <c:pt idx="42">
                  <c:v>-0.5</c:v>
                </c:pt>
                <c:pt idx="43">
                  <c:v>-0.25</c:v>
                </c:pt>
                <c:pt idx="44">
                  <c:v>0</c:v>
                </c:pt>
                <c:pt idx="45">
                  <c:v>0.25</c:v>
                </c:pt>
                <c:pt idx="46">
                  <c:v>0.5</c:v>
                </c:pt>
                <c:pt idx="47">
                  <c:v>0.75</c:v>
                </c:pt>
                <c:pt idx="48">
                  <c:v>1</c:v>
                </c:pt>
                <c:pt idx="49">
                  <c:v>1.25</c:v>
                </c:pt>
                <c:pt idx="50">
                  <c:v>1.5</c:v>
                </c:pt>
                <c:pt idx="51">
                  <c:v>1.75</c:v>
                </c:pt>
                <c:pt idx="52">
                  <c:v>2</c:v>
                </c:pt>
                <c:pt idx="53">
                  <c:v>2.25</c:v>
                </c:pt>
                <c:pt idx="54">
                  <c:v>2.5</c:v>
                </c:pt>
                <c:pt idx="55">
                  <c:v>2.75</c:v>
                </c:pt>
                <c:pt idx="56">
                  <c:v>3</c:v>
                </c:pt>
                <c:pt idx="57">
                  <c:v>3.25</c:v>
                </c:pt>
                <c:pt idx="58">
                  <c:v>3.5</c:v>
                </c:pt>
                <c:pt idx="59">
                  <c:v>3.75</c:v>
                </c:pt>
                <c:pt idx="60">
                  <c:v>4</c:v>
                </c:pt>
                <c:pt idx="61">
                  <c:v>4.25</c:v>
                </c:pt>
                <c:pt idx="62">
                  <c:v>4.5</c:v>
                </c:pt>
              </c:numCache>
            </c:numRef>
          </c:yVal>
          <c:smooth val="0"/>
          <c:extLst>
            <c:ext xmlns:c16="http://schemas.microsoft.com/office/drawing/2014/chart" uri="{C3380CC4-5D6E-409C-BE32-E72D297353CC}">
              <c16:uniqueId val="{00000002-7A8E-43EE-8660-1F0954343213}"/>
            </c:ext>
          </c:extLst>
        </c:ser>
        <c:ser>
          <c:idx val="3"/>
          <c:order val="3"/>
          <c:spPr>
            <a:ln>
              <a:solidFill>
                <a:srgbClr val="FFA7A7"/>
              </a:solidFill>
            </a:ln>
          </c:spPr>
          <c:marker>
            <c:symbol val="triangle"/>
            <c:size val="7"/>
            <c:spPr>
              <a:solidFill>
                <a:srgbClr val="FFFFFF"/>
              </a:solidFill>
              <a:ln>
                <a:solidFill>
                  <a:srgbClr val="FF0000"/>
                </a:solidFill>
                <a:prstDash val="solid"/>
              </a:ln>
            </c:spPr>
          </c:marker>
          <c:xVal>
            <c:numRef>
              <c:f>Output!$H$65:$H$83</c:f>
              <c:numCache>
                <c:formatCode>0.00</c:formatCode>
                <c:ptCount val="19"/>
                <c:pt idx="0">
                  <c:v>68.980378767521842</c:v>
                </c:pt>
                <c:pt idx="1">
                  <c:v>40.558363038065195</c:v>
                </c:pt>
                <c:pt idx="2">
                  <c:v>31.084357794912975</c:v>
                </c:pt>
                <c:pt idx="3">
                  <c:v>25.399954649021645</c:v>
                </c:pt>
                <c:pt idx="4">
                  <c:v>21.339666687670693</c:v>
                </c:pt>
                <c:pt idx="5">
                  <c:v>18.181664939953286</c:v>
                </c:pt>
                <c:pt idx="6">
                  <c:v>15.597845328184501</c:v>
                </c:pt>
                <c:pt idx="7">
                  <c:v>13.411536425918605</c:v>
                </c:pt>
                <c:pt idx="8">
                  <c:v>11.516735377288162</c:v>
                </c:pt>
                <c:pt idx="9">
                  <c:v>9.8448520990848305</c:v>
                </c:pt>
                <c:pt idx="10">
                  <c:v>8.348956534376585</c:v>
                </c:pt>
                <c:pt idx="11">
                  <c:v>6.9955272139262688</c:v>
                </c:pt>
                <c:pt idx="12">
                  <c:v>5.7597873996020663</c:v>
                </c:pt>
                <c:pt idx="13">
                  <c:v>4.6229067704237998</c:v>
                </c:pt>
                <c:pt idx="14">
                  <c:v>3.5702395211846643</c:v>
                </c:pt>
                <c:pt idx="15">
                  <c:v>2.590170013272366</c:v>
                </c:pt>
                <c:pt idx="16">
                  <c:v>1.6733307961931192</c:v>
                </c:pt>
                <c:pt idx="17">
                  <c:v>0.81205759227019025</c:v>
                </c:pt>
              </c:numCache>
            </c:numRef>
          </c:xVal>
          <c:yVal>
            <c:numRef>
              <c:f>Output!$E$65:$E$83</c:f>
              <c:numCache>
                <c:formatCode>0.00</c:formatCode>
                <c:ptCount val="19"/>
                <c:pt idx="0">
                  <c:v>10</c:v>
                </c:pt>
                <c:pt idx="1">
                  <c:v>9.75</c:v>
                </c:pt>
                <c:pt idx="2">
                  <c:v>9.5</c:v>
                </c:pt>
                <c:pt idx="3">
                  <c:v>9.25</c:v>
                </c:pt>
                <c:pt idx="4">
                  <c:v>9</c:v>
                </c:pt>
                <c:pt idx="5">
                  <c:v>8.75</c:v>
                </c:pt>
                <c:pt idx="6">
                  <c:v>8.5</c:v>
                </c:pt>
                <c:pt idx="7">
                  <c:v>8.25</c:v>
                </c:pt>
                <c:pt idx="8">
                  <c:v>8</c:v>
                </c:pt>
                <c:pt idx="9">
                  <c:v>7.75</c:v>
                </c:pt>
                <c:pt idx="10">
                  <c:v>7.5</c:v>
                </c:pt>
                <c:pt idx="11">
                  <c:v>7.25</c:v>
                </c:pt>
                <c:pt idx="12">
                  <c:v>7</c:v>
                </c:pt>
                <c:pt idx="13">
                  <c:v>6.75</c:v>
                </c:pt>
                <c:pt idx="14">
                  <c:v>6.5</c:v>
                </c:pt>
                <c:pt idx="15">
                  <c:v>6.25</c:v>
                </c:pt>
                <c:pt idx="16">
                  <c:v>6</c:v>
                </c:pt>
                <c:pt idx="17">
                  <c:v>5.75</c:v>
                </c:pt>
                <c:pt idx="18">
                  <c:v>5.5</c:v>
                </c:pt>
              </c:numCache>
            </c:numRef>
          </c:yVal>
          <c:smooth val="0"/>
          <c:extLst>
            <c:ext xmlns:c16="http://schemas.microsoft.com/office/drawing/2014/chart" uri="{C3380CC4-5D6E-409C-BE32-E72D297353CC}">
              <c16:uniqueId val="{00000003-7A8E-43EE-8660-1F0954343213}"/>
            </c:ext>
          </c:extLst>
        </c:ser>
        <c:ser>
          <c:idx val="4"/>
          <c:order val="4"/>
          <c:tx>
            <c:v>Water Level</c:v>
          </c:tx>
          <c:spPr>
            <a:ln>
              <a:solidFill>
                <a:srgbClr val="00B0F0"/>
              </a:solidFill>
            </a:ln>
          </c:spPr>
          <c:marker>
            <c:symbol val="none"/>
          </c:marker>
          <c:xVal>
            <c:numLit>
              <c:formatCode>General</c:formatCode>
              <c:ptCount val="2"/>
              <c:pt idx="0">
                <c:v>0.1</c:v>
              </c:pt>
              <c:pt idx="1">
                <c:v>373326.04751642997</c:v>
              </c:pt>
            </c:numLit>
          </c:xVal>
          <c:yVal>
            <c:numLit>
              <c:formatCode>General</c:formatCode>
              <c:ptCount val="2"/>
              <c:pt idx="0">
                <c:v>-11</c:v>
              </c:pt>
              <c:pt idx="1">
                <c:v>-11</c:v>
              </c:pt>
            </c:numLit>
          </c:yVal>
          <c:smooth val="0"/>
          <c:extLst>
            <c:ext xmlns:c16="http://schemas.microsoft.com/office/drawing/2014/chart" uri="{C3380CC4-5D6E-409C-BE32-E72D297353CC}">
              <c16:uniqueId val="{00000004-7A8E-43EE-8660-1F0954343213}"/>
            </c:ext>
          </c:extLst>
        </c:ser>
        <c:ser>
          <c:idx val="5"/>
          <c:order val="5"/>
          <c:tx>
            <c:v>Top of Screen</c:v>
          </c:tx>
          <c:spPr>
            <a:ln>
              <a:solidFill>
                <a:srgbClr val="000000"/>
              </a:solidFill>
              <a:prstDash val="dash"/>
            </a:ln>
          </c:spPr>
          <c:marker>
            <c:symbol val="none"/>
          </c:marker>
          <c:xVal>
            <c:numLit>
              <c:formatCode>General</c:formatCode>
              <c:ptCount val="2"/>
              <c:pt idx="0">
                <c:v>0.1</c:v>
              </c:pt>
              <c:pt idx="1">
                <c:v>373326.04751642997</c:v>
              </c:pt>
            </c:numLit>
          </c:xVal>
          <c:yVal>
            <c:numLit>
              <c:formatCode>General</c:formatCode>
              <c:ptCount val="2"/>
              <c:pt idx="0">
                <c:v>0</c:v>
              </c:pt>
              <c:pt idx="1">
                <c:v>0</c:v>
              </c:pt>
            </c:numLit>
          </c:yVal>
          <c:smooth val="0"/>
          <c:extLst>
            <c:ext xmlns:c16="http://schemas.microsoft.com/office/drawing/2014/chart" uri="{C3380CC4-5D6E-409C-BE32-E72D297353CC}">
              <c16:uniqueId val="{00000005-7A8E-43EE-8660-1F0954343213}"/>
            </c:ext>
          </c:extLst>
        </c:ser>
        <c:ser>
          <c:idx val="6"/>
          <c:order val="6"/>
          <c:tx>
            <c:v>Bottom of Screen</c:v>
          </c:tx>
          <c:spPr>
            <a:ln>
              <a:solidFill>
                <a:srgbClr val="FFCC33"/>
              </a:solidFill>
            </a:ln>
          </c:spPr>
          <c:marker>
            <c:symbol val="none"/>
          </c:marker>
          <c:xVal>
            <c:numLit>
              <c:formatCode>General</c:formatCode>
              <c:ptCount val="2"/>
              <c:pt idx="0">
                <c:v>0.1</c:v>
              </c:pt>
              <c:pt idx="1">
                <c:v>373326.04751642997</c:v>
              </c:pt>
            </c:numLit>
          </c:xVal>
          <c:yVal>
            <c:numLit>
              <c:formatCode>General</c:formatCode>
              <c:ptCount val="2"/>
              <c:pt idx="0">
                <c:v>10</c:v>
              </c:pt>
              <c:pt idx="1">
                <c:v>10</c:v>
              </c:pt>
            </c:numLit>
          </c:yVal>
          <c:smooth val="0"/>
          <c:extLst>
            <c:ext xmlns:c16="http://schemas.microsoft.com/office/drawing/2014/chart" uri="{C3380CC4-5D6E-409C-BE32-E72D297353CC}">
              <c16:uniqueId val="{00000006-7A8E-43EE-8660-1F0954343213}"/>
            </c:ext>
          </c:extLst>
        </c:ser>
        <c:ser>
          <c:idx val="7"/>
          <c:order val="7"/>
          <c:tx>
            <c:v>Pump Mixing Boundary</c:v>
          </c:tx>
          <c:spPr>
            <a:ln>
              <a:solidFill>
                <a:srgbClr val="66FF66"/>
              </a:solidFill>
            </a:ln>
          </c:spPr>
          <c:marker>
            <c:symbol val="none"/>
          </c:marker>
          <c:xVal>
            <c:numLit>
              <c:formatCode>General</c:formatCode>
              <c:ptCount val="2"/>
              <c:pt idx="0">
                <c:v>0.1</c:v>
              </c:pt>
              <c:pt idx="1">
                <c:v>373326.04751642997</c:v>
              </c:pt>
            </c:numLit>
          </c:xVal>
          <c:yVal>
            <c:numLit>
              <c:formatCode>General</c:formatCode>
              <c:ptCount val="2"/>
              <c:pt idx="0">
                <c:v>5.5</c:v>
              </c:pt>
              <c:pt idx="1">
                <c:v>5.5</c:v>
              </c:pt>
            </c:numLit>
          </c:yVal>
          <c:smooth val="0"/>
          <c:extLst>
            <c:ext xmlns:c16="http://schemas.microsoft.com/office/drawing/2014/chart" uri="{C3380CC4-5D6E-409C-BE32-E72D297353CC}">
              <c16:uniqueId val="{00000007-7A8E-43EE-8660-1F0954343213}"/>
            </c:ext>
          </c:extLst>
        </c:ser>
        <c:ser>
          <c:idx val="8"/>
          <c:order val="8"/>
          <c:spPr>
            <a:ln>
              <a:solidFill>
                <a:srgbClr val="66FF66"/>
              </a:solidFill>
            </a:ln>
          </c:spPr>
          <c:marker>
            <c:symbol val="none"/>
          </c:marker>
          <c:dLbls>
            <c:dLbl>
              <c:idx val="0"/>
              <c:layout>
                <c:manualLayout>
                  <c:x val="0.39583333333333343"/>
                  <c:y val="1.8045112781954888E-2"/>
                </c:manualLayout>
              </c:layout>
              <c:tx>
                <c:rich>
                  <a:bodyPr wrap="square" lIns="38100" tIns="19050" rIns="38100" bIns="19050" anchor="ctr">
                    <a:spAutoFit/>
                  </a:bodyPr>
                  <a:lstStyle/>
                  <a:p>
                    <a:pPr>
                      <a:defRPr sz="1400">
                        <a:solidFill>
                          <a:srgbClr val="66FF66"/>
                        </a:solidFill>
                      </a:defRPr>
                    </a:pPr>
                    <a:r>
                      <a:rPr lang="en-US" sz="1400">
                        <a:solidFill>
                          <a:srgbClr val="66FF66"/>
                        </a:solidFill>
                      </a:rPr>
                      <a:t>PUMP</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0.20833333333333334"/>
                      <c:h val="3.048629447634835E-2"/>
                    </c:manualLayout>
                  </c15:layout>
                </c:ext>
                <c:ext xmlns:c16="http://schemas.microsoft.com/office/drawing/2014/chart" uri="{C3380CC4-5D6E-409C-BE32-E72D297353CC}">
                  <c16:uniqueId val="{00000008-7A8E-43EE-8660-1F0954343213}"/>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0.1</c:v>
              </c:pt>
              <c:pt idx="1">
                <c:v>373326.04751642997</c:v>
              </c:pt>
            </c:numLit>
          </c:xVal>
          <c:yVal>
            <c:numLit>
              <c:formatCode>General</c:formatCode>
              <c:ptCount val="2"/>
              <c:pt idx="0">
                <c:v>4.5</c:v>
              </c:pt>
              <c:pt idx="1">
                <c:v>4.5</c:v>
              </c:pt>
            </c:numLit>
          </c:yVal>
          <c:smooth val="0"/>
          <c:extLst>
            <c:ext xmlns:c16="http://schemas.microsoft.com/office/drawing/2014/chart" uri="{C3380CC4-5D6E-409C-BE32-E72D297353CC}">
              <c16:uniqueId val="{00000009-7A8E-43EE-8660-1F0954343213}"/>
            </c:ext>
          </c:extLst>
        </c:ser>
        <c:dLbls>
          <c:showLegendKey val="0"/>
          <c:showVal val="0"/>
          <c:showCatName val="0"/>
          <c:showSerName val="0"/>
          <c:showPercent val="0"/>
          <c:showBubbleSize val="0"/>
        </c:dLbls>
        <c:axId val="647429472"/>
        <c:axId val="648076944"/>
      </c:scatterChart>
      <c:valAx>
        <c:axId val="647429472"/>
        <c:scaling>
          <c:orientation val="minMax"/>
          <c:max val="-0.1"/>
          <c:min val="-1"/>
        </c:scaling>
        <c:delete val="0"/>
        <c:axPos val="t"/>
        <c:numFmt formatCode="0.00" sourceLinked="1"/>
        <c:majorTickMark val="out"/>
        <c:minorTickMark val="none"/>
        <c:tickLblPos val="none"/>
        <c:spPr>
          <a:noFill/>
          <a:ln w="6350" cap="flat" cmpd="sng" algn="ctr">
            <a:noFill/>
            <a:prstDash val="solid"/>
            <a:round/>
          </a:ln>
          <a:effectLst/>
          <a:extLst>
            <a:ext uri="{909E8E84-426E-40DD-AFC4-6F175D3DCCD1}">
              <a14:hiddenFill xmlns:a14="http://schemas.microsoft.com/office/drawing/2010/main">
                <a:no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648076944"/>
        <c:crossesAt val="-12"/>
        <c:crossBetween val="midCat"/>
      </c:valAx>
      <c:valAx>
        <c:axId val="648076944"/>
        <c:scaling>
          <c:orientation val="maxMin"/>
          <c:max val="10"/>
          <c:min val="-12"/>
        </c:scaling>
        <c:delete val="0"/>
        <c:axPos val="l"/>
        <c:numFmt formatCode="0.00" sourceLinked="1"/>
        <c:majorTickMark val="out"/>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647429472"/>
        <c:crossesAt val="0.1"/>
        <c:crossBetween val="midCat"/>
        <c:majorUnit val="0.25"/>
        <c:minorUnit val="0.125"/>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t"/>
      <c:legendEntry>
        <c:idx val="1"/>
        <c:delete val="1"/>
      </c:legendEntry>
      <c:legendEntry>
        <c:idx val="3"/>
        <c:delete val="1"/>
      </c:legendEntry>
      <c:legendEntry>
        <c:idx val="8"/>
        <c:delete val="1"/>
      </c:legendEntry>
      <c:layout>
        <c:manualLayout>
          <c:xMode val="edge"/>
          <c:yMode val="edge"/>
          <c:x val="6.500260010400416E-2"/>
          <c:y val="6.1282556358065225E-2"/>
          <c:w val="0.86323452938117529"/>
          <c:h val="0.86671043992120811"/>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0F0F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Aquifer Fraction</a:t>
            </a:r>
          </a:p>
        </c:rich>
      </c:tx>
      <c:overlay val="0"/>
    </c:title>
    <c:autoTitleDeleted val="0"/>
    <c:plotArea>
      <c:layout/>
      <c:scatterChart>
        <c:scatterStyle val="lineMarker"/>
        <c:varyColors val="0"/>
        <c:ser>
          <c:idx val="0"/>
          <c:order val="0"/>
          <c:spPr>
            <a:ln>
              <a:solidFill>
                <a:srgbClr val="FF0000"/>
              </a:solidFill>
            </a:ln>
          </c:spPr>
          <c:marker>
            <c:symbol val="none"/>
          </c:marker>
          <c:xVal>
            <c:numRef>
              <c:f>Output!$I$2:$I$140</c:f>
              <c:numCache>
                <c:formatCode>0.0</c:formatCode>
                <c:ptCount val="139"/>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40</c:v>
                </c:pt>
                <c:pt idx="81">
                  <c:v>40.5</c:v>
                </c:pt>
                <c:pt idx="82">
                  <c:v>41</c:v>
                </c:pt>
                <c:pt idx="83">
                  <c:v>41.5</c:v>
                </c:pt>
                <c:pt idx="84">
                  <c:v>42</c:v>
                </c:pt>
                <c:pt idx="85">
                  <c:v>42.5</c:v>
                </c:pt>
                <c:pt idx="86">
                  <c:v>43</c:v>
                </c:pt>
                <c:pt idx="87">
                  <c:v>43.5</c:v>
                </c:pt>
                <c:pt idx="88">
                  <c:v>44</c:v>
                </c:pt>
                <c:pt idx="89">
                  <c:v>44.5</c:v>
                </c:pt>
                <c:pt idx="90">
                  <c:v>45</c:v>
                </c:pt>
                <c:pt idx="91">
                  <c:v>45.5</c:v>
                </c:pt>
                <c:pt idx="92">
                  <c:v>46</c:v>
                </c:pt>
                <c:pt idx="93">
                  <c:v>46.5</c:v>
                </c:pt>
                <c:pt idx="94">
                  <c:v>47</c:v>
                </c:pt>
                <c:pt idx="95">
                  <c:v>47.5</c:v>
                </c:pt>
                <c:pt idx="96">
                  <c:v>48</c:v>
                </c:pt>
                <c:pt idx="97">
                  <c:v>48.5</c:v>
                </c:pt>
                <c:pt idx="98">
                  <c:v>49</c:v>
                </c:pt>
                <c:pt idx="99">
                  <c:v>49.5</c:v>
                </c:pt>
                <c:pt idx="100">
                  <c:v>50</c:v>
                </c:pt>
                <c:pt idx="101">
                  <c:v>50.5</c:v>
                </c:pt>
                <c:pt idx="102">
                  <c:v>51</c:v>
                </c:pt>
                <c:pt idx="103">
                  <c:v>51.5</c:v>
                </c:pt>
                <c:pt idx="104">
                  <c:v>52</c:v>
                </c:pt>
                <c:pt idx="105">
                  <c:v>52.5</c:v>
                </c:pt>
                <c:pt idx="106">
                  <c:v>53</c:v>
                </c:pt>
                <c:pt idx="107">
                  <c:v>53.5</c:v>
                </c:pt>
                <c:pt idx="108">
                  <c:v>54</c:v>
                </c:pt>
                <c:pt idx="109">
                  <c:v>54.5</c:v>
                </c:pt>
                <c:pt idx="110">
                  <c:v>55</c:v>
                </c:pt>
                <c:pt idx="111">
                  <c:v>55.5</c:v>
                </c:pt>
                <c:pt idx="112">
                  <c:v>56</c:v>
                </c:pt>
                <c:pt idx="113">
                  <c:v>56.5</c:v>
                </c:pt>
                <c:pt idx="114">
                  <c:v>57</c:v>
                </c:pt>
                <c:pt idx="115">
                  <c:v>57.5</c:v>
                </c:pt>
                <c:pt idx="116">
                  <c:v>58</c:v>
                </c:pt>
                <c:pt idx="117">
                  <c:v>58.5</c:v>
                </c:pt>
                <c:pt idx="118">
                  <c:v>59</c:v>
                </c:pt>
                <c:pt idx="119">
                  <c:v>59.5</c:v>
                </c:pt>
                <c:pt idx="120">
                  <c:v>60</c:v>
                </c:pt>
                <c:pt idx="121">
                  <c:v>60.5</c:v>
                </c:pt>
                <c:pt idx="122">
                  <c:v>61</c:v>
                </c:pt>
                <c:pt idx="123">
                  <c:v>61.5</c:v>
                </c:pt>
                <c:pt idx="124">
                  <c:v>62</c:v>
                </c:pt>
                <c:pt idx="125">
                  <c:v>62.5</c:v>
                </c:pt>
                <c:pt idx="126">
                  <c:v>63</c:v>
                </c:pt>
                <c:pt idx="127">
                  <c:v>63.5</c:v>
                </c:pt>
                <c:pt idx="128">
                  <c:v>64</c:v>
                </c:pt>
                <c:pt idx="129">
                  <c:v>64.5</c:v>
                </c:pt>
                <c:pt idx="130">
                  <c:v>65</c:v>
                </c:pt>
                <c:pt idx="131">
                  <c:v>65.5</c:v>
                </c:pt>
                <c:pt idx="132">
                  <c:v>66</c:v>
                </c:pt>
                <c:pt idx="133">
                  <c:v>66.5</c:v>
                </c:pt>
                <c:pt idx="134">
                  <c:v>67</c:v>
                </c:pt>
                <c:pt idx="135">
                  <c:v>67.5</c:v>
                </c:pt>
                <c:pt idx="136">
                  <c:v>68</c:v>
                </c:pt>
                <c:pt idx="137">
                  <c:v>68.5</c:v>
                </c:pt>
                <c:pt idx="138">
                  <c:v>69</c:v>
                </c:pt>
              </c:numCache>
            </c:numRef>
          </c:xVal>
          <c:yVal>
            <c:numRef>
              <c:f>Output!$J$2:$J$140</c:f>
              <c:numCache>
                <c:formatCode>0.00</c:formatCode>
                <c:ptCount val="139"/>
                <c:pt idx="0">
                  <c:v>0</c:v>
                </c:pt>
                <c:pt idx="1">
                  <c:v>9.9999999999999936E-2</c:v>
                </c:pt>
                <c:pt idx="2">
                  <c:v>0.14999999999999991</c:v>
                </c:pt>
                <c:pt idx="3">
                  <c:v>0.14999999999999991</c:v>
                </c:pt>
                <c:pt idx="4">
                  <c:v>0.19999999999999984</c:v>
                </c:pt>
                <c:pt idx="5">
                  <c:v>0.19999999999999984</c:v>
                </c:pt>
                <c:pt idx="6">
                  <c:v>0.24999999999999981</c:v>
                </c:pt>
                <c:pt idx="7">
                  <c:v>0.24999999999999981</c:v>
                </c:pt>
                <c:pt idx="8">
                  <c:v>0.29999999999999977</c:v>
                </c:pt>
                <c:pt idx="9">
                  <c:v>0.29999999999999977</c:v>
                </c:pt>
                <c:pt idx="10">
                  <c:v>0.3499999999999997</c:v>
                </c:pt>
                <c:pt idx="11">
                  <c:v>0.3499999999999997</c:v>
                </c:pt>
                <c:pt idx="12">
                  <c:v>0.39999999999999963</c:v>
                </c:pt>
                <c:pt idx="13">
                  <c:v>0.39999999999999963</c:v>
                </c:pt>
                <c:pt idx="14">
                  <c:v>0.44999999999999962</c:v>
                </c:pt>
                <c:pt idx="15">
                  <c:v>0.44999999999999962</c:v>
                </c:pt>
                <c:pt idx="16">
                  <c:v>0.44999999999999962</c:v>
                </c:pt>
                <c:pt idx="17">
                  <c:v>0.49999999999999961</c:v>
                </c:pt>
                <c:pt idx="18">
                  <c:v>0.49999999999999961</c:v>
                </c:pt>
                <c:pt idx="19">
                  <c:v>0.49999999999999961</c:v>
                </c:pt>
                <c:pt idx="20">
                  <c:v>0.5499999999999996</c:v>
                </c:pt>
                <c:pt idx="21">
                  <c:v>0.5499999999999996</c:v>
                </c:pt>
                <c:pt idx="22">
                  <c:v>0.5499999999999996</c:v>
                </c:pt>
                <c:pt idx="23">
                  <c:v>0.5499999999999996</c:v>
                </c:pt>
                <c:pt idx="24">
                  <c:v>0.59999999999999964</c:v>
                </c:pt>
                <c:pt idx="25">
                  <c:v>0.59999999999999964</c:v>
                </c:pt>
                <c:pt idx="26">
                  <c:v>0.59999999999999964</c:v>
                </c:pt>
                <c:pt idx="27">
                  <c:v>0.6499999999999998</c:v>
                </c:pt>
                <c:pt idx="28">
                  <c:v>0.6499999999999998</c:v>
                </c:pt>
                <c:pt idx="29">
                  <c:v>0.6499999999999998</c:v>
                </c:pt>
                <c:pt idx="30">
                  <c:v>0.6499999999999998</c:v>
                </c:pt>
                <c:pt idx="31">
                  <c:v>0.6499999999999998</c:v>
                </c:pt>
                <c:pt idx="32">
                  <c:v>0.69999999999999984</c:v>
                </c:pt>
                <c:pt idx="33">
                  <c:v>0.69999999999999984</c:v>
                </c:pt>
                <c:pt idx="34">
                  <c:v>0.69999999999999984</c:v>
                </c:pt>
                <c:pt idx="35">
                  <c:v>0.69999999999999984</c:v>
                </c:pt>
                <c:pt idx="36">
                  <c:v>0.69999999999999984</c:v>
                </c:pt>
                <c:pt idx="37">
                  <c:v>0.74999999999999989</c:v>
                </c:pt>
                <c:pt idx="38">
                  <c:v>0.74999999999999989</c:v>
                </c:pt>
                <c:pt idx="39">
                  <c:v>0.74999999999999989</c:v>
                </c:pt>
                <c:pt idx="40">
                  <c:v>0.74999999999999989</c:v>
                </c:pt>
                <c:pt idx="41">
                  <c:v>0.74999999999999989</c:v>
                </c:pt>
                <c:pt idx="42">
                  <c:v>0.74999999999999989</c:v>
                </c:pt>
                <c:pt idx="43">
                  <c:v>0.79999999999999993</c:v>
                </c:pt>
                <c:pt idx="44">
                  <c:v>0.79999999999999993</c:v>
                </c:pt>
                <c:pt idx="45">
                  <c:v>0.79999999999999993</c:v>
                </c:pt>
                <c:pt idx="46">
                  <c:v>0.79999999999999993</c:v>
                </c:pt>
                <c:pt idx="47">
                  <c:v>0.79999999999999993</c:v>
                </c:pt>
                <c:pt idx="48">
                  <c:v>0.79999999999999993</c:v>
                </c:pt>
                <c:pt idx="49">
                  <c:v>0.79999999999999993</c:v>
                </c:pt>
                <c:pt idx="50">
                  <c:v>0.79999999999999993</c:v>
                </c:pt>
                <c:pt idx="51">
                  <c:v>0.85</c:v>
                </c:pt>
                <c:pt idx="52">
                  <c:v>0.85</c:v>
                </c:pt>
                <c:pt idx="53">
                  <c:v>0.85</c:v>
                </c:pt>
                <c:pt idx="54">
                  <c:v>0.85</c:v>
                </c:pt>
                <c:pt idx="55">
                  <c:v>0.85</c:v>
                </c:pt>
                <c:pt idx="56">
                  <c:v>0.85</c:v>
                </c:pt>
                <c:pt idx="57">
                  <c:v>0.85</c:v>
                </c:pt>
                <c:pt idx="58">
                  <c:v>0.85</c:v>
                </c:pt>
                <c:pt idx="59">
                  <c:v>0.85</c:v>
                </c:pt>
                <c:pt idx="60">
                  <c:v>0.85</c:v>
                </c:pt>
                <c:pt idx="61">
                  <c:v>0.85</c:v>
                </c:pt>
                <c:pt idx="62">
                  <c:v>0.85</c:v>
                </c:pt>
                <c:pt idx="63">
                  <c:v>0.9</c:v>
                </c:pt>
                <c:pt idx="64">
                  <c:v>0.9</c:v>
                </c:pt>
                <c:pt idx="65">
                  <c:v>0.9</c:v>
                </c:pt>
                <c:pt idx="66">
                  <c:v>0.9</c:v>
                </c:pt>
                <c:pt idx="67">
                  <c:v>0.9</c:v>
                </c:pt>
                <c:pt idx="68">
                  <c:v>0.9</c:v>
                </c:pt>
                <c:pt idx="69">
                  <c:v>0.9</c:v>
                </c:pt>
                <c:pt idx="70">
                  <c:v>0.9</c:v>
                </c:pt>
                <c:pt idx="71">
                  <c:v>0.9</c:v>
                </c:pt>
                <c:pt idx="72">
                  <c:v>0.9</c:v>
                </c:pt>
                <c:pt idx="73">
                  <c:v>0.9</c:v>
                </c:pt>
                <c:pt idx="74">
                  <c:v>0.9</c:v>
                </c:pt>
                <c:pt idx="75">
                  <c:v>0.9</c:v>
                </c:pt>
                <c:pt idx="76">
                  <c:v>0.9</c:v>
                </c:pt>
                <c:pt idx="77">
                  <c:v>0.9</c:v>
                </c:pt>
                <c:pt idx="78">
                  <c:v>0.9</c:v>
                </c:pt>
                <c:pt idx="79">
                  <c:v>0.9</c:v>
                </c:pt>
                <c:pt idx="80">
                  <c:v>0.9</c:v>
                </c:pt>
                <c:pt idx="81">
                  <c:v>0.9</c:v>
                </c:pt>
                <c:pt idx="82">
                  <c:v>0.95</c:v>
                </c:pt>
                <c:pt idx="83">
                  <c:v>0.95</c:v>
                </c:pt>
                <c:pt idx="84">
                  <c:v>0.95</c:v>
                </c:pt>
                <c:pt idx="85">
                  <c:v>0.95</c:v>
                </c:pt>
                <c:pt idx="86">
                  <c:v>0.95</c:v>
                </c:pt>
                <c:pt idx="87">
                  <c:v>0.95</c:v>
                </c:pt>
                <c:pt idx="88">
                  <c:v>0.95</c:v>
                </c:pt>
                <c:pt idx="89">
                  <c:v>0.95</c:v>
                </c:pt>
                <c:pt idx="90">
                  <c:v>0.95</c:v>
                </c:pt>
                <c:pt idx="91">
                  <c:v>0.95</c:v>
                </c:pt>
                <c:pt idx="92">
                  <c:v>0.95</c:v>
                </c:pt>
                <c:pt idx="93">
                  <c:v>0.95</c:v>
                </c:pt>
                <c:pt idx="94">
                  <c:v>0.95</c:v>
                </c:pt>
                <c:pt idx="95">
                  <c:v>0.95</c:v>
                </c:pt>
                <c:pt idx="96">
                  <c:v>0.95</c:v>
                </c:pt>
                <c:pt idx="97">
                  <c:v>0.95</c:v>
                </c:pt>
                <c:pt idx="98">
                  <c:v>0.95</c:v>
                </c:pt>
                <c:pt idx="99">
                  <c:v>0.95</c:v>
                </c:pt>
                <c:pt idx="100">
                  <c:v>0.95</c:v>
                </c:pt>
                <c:pt idx="101">
                  <c:v>0.95</c:v>
                </c:pt>
                <c:pt idx="102">
                  <c:v>0.95</c:v>
                </c:pt>
                <c:pt idx="103">
                  <c:v>0.95</c:v>
                </c:pt>
                <c:pt idx="104">
                  <c:v>0.95</c:v>
                </c:pt>
                <c:pt idx="105">
                  <c:v>0.95</c:v>
                </c:pt>
                <c:pt idx="106">
                  <c:v>0.95</c:v>
                </c:pt>
                <c:pt idx="107">
                  <c:v>0.95</c:v>
                </c:pt>
                <c:pt idx="108">
                  <c:v>0.95</c:v>
                </c:pt>
                <c:pt idx="109">
                  <c:v>0.95</c:v>
                </c:pt>
                <c:pt idx="110">
                  <c:v>0.95</c:v>
                </c:pt>
                <c:pt idx="111">
                  <c:v>0.95</c:v>
                </c:pt>
                <c:pt idx="112">
                  <c:v>0.95</c:v>
                </c:pt>
                <c:pt idx="113">
                  <c:v>0.95</c:v>
                </c:pt>
                <c:pt idx="114">
                  <c:v>0.95</c:v>
                </c:pt>
                <c:pt idx="115">
                  <c:v>0.95</c:v>
                </c:pt>
                <c:pt idx="116">
                  <c:v>0.95</c:v>
                </c:pt>
                <c:pt idx="117">
                  <c:v>0.95</c:v>
                </c:pt>
                <c:pt idx="118">
                  <c:v>0.95</c:v>
                </c:pt>
                <c:pt idx="119">
                  <c:v>0.95</c:v>
                </c:pt>
                <c:pt idx="120">
                  <c:v>0.95</c:v>
                </c:pt>
                <c:pt idx="121">
                  <c:v>0.95</c:v>
                </c:pt>
                <c:pt idx="122">
                  <c:v>0.95</c:v>
                </c:pt>
                <c:pt idx="123">
                  <c:v>0.95</c:v>
                </c:pt>
                <c:pt idx="124">
                  <c:v>0.95</c:v>
                </c:pt>
                <c:pt idx="125">
                  <c:v>0.95</c:v>
                </c:pt>
                <c:pt idx="126">
                  <c:v>0.95</c:v>
                </c:pt>
                <c:pt idx="127">
                  <c:v>0.95</c:v>
                </c:pt>
                <c:pt idx="128">
                  <c:v>0.95</c:v>
                </c:pt>
                <c:pt idx="129">
                  <c:v>0.95</c:v>
                </c:pt>
                <c:pt idx="130">
                  <c:v>0.95</c:v>
                </c:pt>
                <c:pt idx="131">
                  <c:v>0.95</c:v>
                </c:pt>
                <c:pt idx="132">
                  <c:v>0.95</c:v>
                </c:pt>
                <c:pt idx="133">
                  <c:v>0.95</c:v>
                </c:pt>
                <c:pt idx="134">
                  <c:v>0.95</c:v>
                </c:pt>
                <c:pt idx="135">
                  <c:v>0.95</c:v>
                </c:pt>
                <c:pt idx="136">
                  <c:v>0.95</c:v>
                </c:pt>
                <c:pt idx="137">
                  <c:v>0.95</c:v>
                </c:pt>
                <c:pt idx="138">
                  <c:v>1</c:v>
                </c:pt>
              </c:numCache>
            </c:numRef>
          </c:yVal>
          <c:smooth val="0"/>
          <c:extLst>
            <c:ext xmlns:c16="http://schemas.microsoft.com/office/drawing/2014/chart" uri="{C3380CC4-5D6E-409C-BE32-E72D297353CC}">
              <c16:uniqueId val="{00000000-F72E-433E-8CB3-3A66D66754C0}"/>
            </c:ext>
          </c:extLst>
        </c:ser>
        <c:dLbls>
          <c:showLegendKey val="0"/>
          <c:showVal val="0"/>
          <c:showCatName val="0"/>
          <c:showSerName val="0"/>
          <c:showPercent val="0"/>
          <c:showBubbleSize val="0"/>
        </c:dLbls>
        <c:axId val="697474272"/>
        <c:axId val="709101728"/>
      </c:scatterChart>
      <c:valAx>
        <c:axId val="697474272"/>
        <c:scaling>
          <c:orientation val="minMax"/>
        </c:scaling>
        <c:delete val="0"/>
        <c:axPos val="b"/>
        <c:title>
          <c:tx>
            <c:rich>
              <a:bodyPr/>
              <a:lstStyle/>
              <a:p>
                <a:pPr>
                  <a:defRPr/>
                </a:pPr>
                <a:r>
                  <a:rPr lang="en-US"/>
                  <a:t>Time, min</a:t>
                </a:r>
              </a:p>
            </c:rich>
          </c:tx>
          <c:overlay val="0"/>
        </c:title>
        <c:numFmt formatCode="0.0" sourceLinked="1"/>
        <c:majorTickMark val="out"/>
        <c:minorTickMark val="none"/>
        <c:tickLblPos val="nextTo"/>
        <c:crossAx val="709101728"/>
        <c:crosses val="autoZero"/>
        <c:crossBetween val="midCat"/>
      </c:valAx>
      <c:valAx>
        <c:axId val="709101728"/>
        <c:scaling>
          <c:orientation val="minMax"/>
          <c:max val="1"/>
          <c:min val="0"/>
        </c:scaling>
        <c:delete val="0"/>
        <c:axPos val="l"/>
        <c:majorGridlines/>
        <c:title>
          <c:tx>
            <c:rich>
              <a:bodyPr rot="-5400000" vert="horz"/>
              <a:lstStyle/>
              <a:p>
                <a:pPr>
                  <a:defRPr/>
                </a:pPr>
                <a:r>
                  <a:rPr lang="en-US"/>
                  <a:t>Fraction of Pumped Water from Aquifer</a:t>
                </a:r>
              </a:p>
            </c:rich>
          </c:tx>
          <c:overlay val="0"/>
        </c:title>
        <c:numFmt formatCode="0.00" sourceLinked="1"/>
        <c:majorTickMark val="out"/>
        <c:minorTickMark val="none"/>
        <c:tickLblPos val="nextTo"/>
        <c:crossAx val="697474272"/>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5</xdr:col>
      <xdr:colOff>1522109</xdr:colOff>
      <xdr:row>6</xdr:row>
      <xdr:rowOff>66146</xdr:rowOff>
    </xdr:from>
    <xdr:to>
      <xdr:col>7</xdr:col>
      <xdr:colOff>1300195</xdr:colOff>
      <xdr:row>12</xdr:row>
      <xdr:rowOff>52091</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8193203" y="2395278"/>
          <a:ext cx="2854841" cy="1826247"/>
          <a:chOff x="9001700" y="2431370"/>
          <a:chExt cx="2593257" cy="902107"/>
        </a:xfrm>
      </xdr:grpSpPr>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9001700" y="2431370"/>
                <a:ext cx="2593257" cy="469717"/>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sSub>
                        <m:sSubPr>
                          <m:ctrlPr>
                            <a:rPr lang="en-US" sz="1200" b="0" i="1">
                              <a:solidFill>
                                <a:schemeClr val="tx1"/>
                              </a:solidFill>
                              <a:effectLst/>
                              <a:latin typeface="Cambria Math" panose="02040503050406030204" pitchFamily="18" charset="0"/>
                              <a:ea typeface="+mn-ea"/>
                              <a:cs typeface="+mn-cs"/>
                            </a:rPr>
                          </m:ctrlPr>
                        </m:sSubPr>
                        <m:e>
                          <m:r>
                            <a:rPr lang="en-US" sz="1200" b="0" i="1">
                              <a:solidFill>
                                <a:schemeClr val="tx1"/>
                              </a:solidFill>
                              <a:effectLst/>
                              <a:latin typeface="Cambria Math" panose="02040503050406030204" pitchFamily="18" charset="0"/>
                              <a:ea typeface="+mn-ea"/>
                              <a:cs typeface="+mn-cs"/>
                            </a:rPr>
                            <m:t>𝑄</m:t>
                          </m:r>
                        </m:e>
                        <m:sub>
                          <m:r>
                            <a:rPr lang="en-US" sz="1200" b="0" i="1">
                              <a:solidFill>
                                <a:schemeClr val="tx1"/>
                              </a:solidFill>
                              <a:effectLst/>
                              <a:latin typeface="Cambria Math" panose="02040503050406030204" pitchFamily="18" charset="0"/>
                              <a:ea typeface="+mn-ea"/>
                              <a:cs typeface="+mn-cs"/>
                            </a:rPr>
                            <m:t>h</m:t>
                          </m:r>
                        </m:sub>
                      </m:sSub>
                      <m:r>
                        <a:rPr lang="en-US" sz="1200" b="0" i="1">
                          <a:solidFill>
                            <a:schemeClr val="tx1"/>
                          </a:solidFill>
                          <a:effectLst/>
                          <a:latin typeface="Cambria Math" panose="02040503050406030204" pitchFamily="18" charset="0"/>
                          <a:ea typeface="+mn-ea"/>
                          <a:cs typeface="+mn-cs"/>
                        </a:rPr>
                        <m:t>=</m:t>
                      </m:r>
                      <m:f>
                        <m:fPr>
                          <m:ctrlPr>
                            <a:rPr lang="en-US" sz="1200" b="0" i="1">
                              <a:solidFill>
                                <a:schemeClr val="tx1"/>
                              </a:solidFill>
                              <a:effectLst/>
                              <a:latin typeface="Cambria Math" panose="02040503050406030204" pitchFamily="18" charset="0"/>
                              <a:ea typeface="+mn-ea"/>
                              <a:cs typeface="+mn-cs"/>
                            </a:rPr>
                          </m:ctrlPr>
                        </m:fPr>
                        <m:num>
                          <m:r>
                            <a:rPr lang="en-US" sz="1200" b="0" i="1">
                              <a:solidFill>
                                <a:schemeClr val="tx1"/>
                              </a:solidFill>
                              <a:effectLst/>
                              <a:latin typeface="Cambria Math" panose="02040503050406030204" pitchFamily="18" charset="0"/>
                              <a:ea typeface="+mn-ea"/>
                              <a:cs typeface="+mn-cs"/>
                            </a:rPr>
                            <m:t>2</m:t>
                          </m:r>
                          <m:r>
                            <a:rPr lang="en-US" sz="1200" b="0" i="1">
                              <a:solidFill>
                                <a:schemeClr val="tx1"/>
                              </a:solidFill>
                              <a:effectLst/>
                              <a:latin typeface="Cambria Math" panose="02040503050406030204" pitchFamily="18" charset="0"/>
                              <a:ea typeface="+mn-ea"/>
                              <a:cs typeface="+mn-cs"/>
                            </a:rPr>
                            <m:t>𝜋</m:t>
                          </m:r>
                          <m:r>
                            <a:rPr lang="en-US" sz="1200" b="0" i="1">
                              <a:solidFill>
                                <a:schemeClr val="tx1"/>
                              </a:solidFill>
                              <a:effectLst/>
                              <a:latin typeface="Cambria Math" panose="02040503050406030204" pitchFamily="18" charset="0"/>
                              <a:ea typeface="+mn-ea"/>
                              <a:cs typeface="+mn-cs"/>
                            </a:rPr>
                            <m:t>∗</m:t>
                          </m:r>
                          <m:r>
                            <a:rPr lang="en-US" sz="1200" b="0" i="1">
                              <a:solidFill>
                                <a:schemeClr val="tx1"/>
                              </a:solidFill>
                              <a:effectLst/>
                              <a:latin typeface="Cambria Math" panose="02040503050406030204" pitchFamily="18" charset="0"/>
                              <a:ea typeface="+mn-ea"/>
                              <a:cs typeface="+mn-cs"/>
                            </a:rPr>
                            <m:t>𝑠</m:t>
                          </m:r>
                          <m:r>
                            <a:rPr lang="en-US" sz="1200" b="0" i="1">
                              <a:solidFill>
                                <a:schemeClr val="tx1"/>
                              </a:solidFill>
                              <a:effectLst/>
                              <a:latin typeface="Cambria Math" panose="02040503050406030204" pitchFamily="18" charset="0"/>
                              <a:ea typeface="+mn-ea"/>
                              <a:cs typeface="+mn-cs"/>
                            </a:rPr>
                            <m:t>∗</m:t>
                          </m:r>
                          <m:r>
                            <a:rPr lang="en-US" sz="1200" b="0" i="1">
                              <a:solidFill>
                                <a:schemeClr val="tx1"/>
                              </a:solidFill>
                              <a:effectLst/>
                              <a:latin typeface="Cambria Math" panose="02040503050406030204" pitchFamily="18" charset="0"/>
                              <a:ea typeface="+mn-ea"/>
                              <a:cs typeface="+mn-cs"/>
                            </a:rPr>
                            <m:t>𝐾</m:t>
                          </m:r>
                          <m:r>
                            <a:rPr lang="en-US" sz="1200" b="0" i="1">
                              <a:solidFill>
                                <a:schemeClr val="tx1"/>
                              </a:solidFill>
                              <a:effectLst/>
                              <a:latin typeface="Cambria Math" panose="02040503050406030204" pitchFamily="18" charset="0"/>
                              <a:ea typeface="+mn-ea"/>
                              <a:cs typeface="+mn-cs"/>
                            </a:rPr>
                            <m:t>∗2∗</m:t>
                          </m:r>
                          <m:r>
                            <a:rPr lang="en-US" sz="1200" b="0" i="1">
                              <a:solidFill>
                                <a:schemeClr val="tx1"/>
                              </a:solidFill>
                              <a:effectLst/>
                              <a:latin typeface="Cambria Math" panose="02040503050406030204" pitchFamily="18" charset="0"/>
                              <a:ea typeface="+mn-ea"/>
                              <a:cs typeface="+mn-cs"/>
                            </a:rPr>
                            <m:t>𝑀𝑧</m:t>
                          </m:r>
                        </m:num>
                        <m:den>
                          <m:r>
                            <a:rPr lang="en-US" sz="1200" b="0" i="1">
                              <a:solidFill>
                                <a:schemeClr val="tx1"/>
                              </a:solidFill>
                              <a:effectLst/>
                              <a:latin typeface="Cambria Math" panose="02040503050406030204" pitchFamily="18" charset="0"/>
                              <a:ea typeface="+mn-ea"/>
                              <a:cs typeface="+mn-cs"/>
                            </a:rPr>
                            <m:t>𝐿𝑛</m:t>
                          </m:r>
                          <m:r>
                            <a:rPr lang="en-US" sz="1200" b="0" i="1">
                              <a:solidFill>
                                <a:schemeClr val="tx1"/>
                              </a:solidFill>
                              <a:effectLst/>
                              <a:latin typeface="Cambria Math" panose="02040503050406030204" pitchFamily="18" charset="0"/>
                              <a:ea typeface="+mn-ea"/>
                              <a:cs typeface="+mn-cs"/>
                            </a:rPr>
                            <m:t>(</m:t>
                          </m:r>
                          <m:f>
                            <m:fPr>
                              <m:type m:val="skw"/>
                              <m:ctrlPr>
                                <a:rPr lang="en-US" sz="1200" b="0" i="1">
                                  <a:solidFill>
                                    <a:schemeClr val="tx1"/>
                                  </a:solidFill>
                                  <a:effectLst/>
                                  <a:latin typeface="Cambria Math" panose="02040503050406030204" pitchFamily="18" charset="0"/>
                                  <a:ea typeface="+mn-ea"/>
                                  <a:cs typeface="+mn-cs"/>
                                </a:rPr>
                              </m:ctrlPr>
                            </m:fPr>
                            <m:num>
                              <m:sSub>
                                <m:sSubPr>
                                  <m:ctrlPr>
                                    <a:rPr lang="en-US" sz="1200" b="0" i="1">
                                      <a:solidFill>
                                        <a:schemeClr val="tx1"/>
                                      </a:solidFill>
                                      <a:effectLst/>
                                      <a:latin typeface="Cambria Math" panose="02040503050406030204" pitchFamily="18" charset="0"/>
                                      <a:ea typeface="+mn-ea"/>
                                      <a:cs typeface="+mn-cs"/>
                                    </a:rPr>
                                  </m:ctrlPr>
                                </m:sSubPr>
                                <m:e>
                                  <m:r>
                                    <a:rPr lang="en-US" sz="1200" b="0" i="1">
                                      <a:solidFill>
                                        <a:schemeClr val="tx1"/>
                                      </a:solidFill>
                                      <a:effectLst/>
                                      <a:latin typeface="Cambria Math" panose="02040503050406030204" pitchFamily="18" charset="0"/>
                                      <a:ea typeface="+mn-ea"/>
                                      <a:cs typeface="+mn-cs"/>
                                    </a:rPr>
                                    <m:t>𝑟</m:t>
                                  </m:r>
                                </m:e>
                                <m:sub>
                                  <m:r>
                                    <a:rPr lang="en-US" sz="1200" b="0" i="1">
                                      <a:solidFill>
                                        <a:schemeClr val="tx1"/>
                                      </a:solidFill>
                                      <a:effectLst/>
                                      <a:latin typeface="Cambria Math" panose="02040503050406030204" pitchFamily="18" charset="0"/>
                                      <a:ea typeface="+mn-ea"/>
                                      <a:cs typeface="+mn-cs"/>
                                    </a:rPr>
                                    <m:t>𝑒</m:t>
                                  </m:r>
                                </m:sub>
                              </m:sSub>
                            </m:num>
                            <m:den>
                              <m:sSub>
                                <m:sSubPr>
                                  <m:ctrlPr>
                                    <a:rPr lang="en-US" sz="1200" b="0" i="1">
                                      <a:solidFill>
                                        <a:schemeClr val="tx1"/>
                                      </a:solidFill>
                                      <a:effectLst/>
                                      <a:latin typeface="Cambria Math" panose="02040503050406030204" pitchFamily="18" charset="0"/>
                                      <a:ea typeface="+mn-ea"/>
                                      <a:cs typeface="+mn-cs"/>
                                    </a:rPr>
                                  </m:ctrlPr>
                                </m:sSubPr>
                                <m:e>
                                  <m:r>
                                    <a:rPr lang="en-US" sz="1200" b="0" i="1">
                                      <a:solidFill>
                                        <a:schemeClr val="tx1"/>
                                      </a:solidFill>
                                      <a:effectLst/>
                                      <a:latin typeface="Cambria Math" panose="02040503050406030204" pitchFamily="18" charset="0"/>
                                      <a:ea typeface="+mn-ea"/>
                                      <a:cs typeface="+mn-cs"/>
                                    </a:rPr>
                                    <m:t>𝑟</m:t>
                                  </m:r>
                                </m:e>
                                <m:sub>
                                  <m:r>
                                    <a:rPr lang="en-US" sz="1200" b="0" i="1">
                                      <a:solidFill>
                                        <a:schemeClr val="tx1"/>
                                      </a:solidFill>
                                      <a:effectLst/>
                                      <a:latin typeface="Cambria Math" panose="02040503050406030204" pitchFamily="18" charset="0"/>
                                      <a:ea typeface="+mn-ea"/>
                                      <a:cs typeface="+mn-cs"/>
                                    </a:rPr>
                                    <m:t>𝑤</m:t>
                                  </m:r>
                                </m:sub>
                              </m:sSub>
                            </m:den>
                          </m:f>
                          <m:r>
                            <a:rPr lang="en-US" sz="1200" b="0" i="1">
                              <a:solidFill>
                                <a:schemeClr val="tx1"/>
                              </a:solidFill>
                              <a:effectLst/>
                              <a:latin typeface="Cambria Math" panose="02040503050406030204" pitchFamily="18" charset="0"/>
                              <a:ea typeface="+mn-ea"/>
                              <a:cs typeface="+mn-cs"/>
                            </a:rPr>
                            <m:t>)</m:t>
                          </m:r>
                        </m:den>
                      </m:f>
                      <m:r>
                        <a:rPr lang="en-US" sz="1200" b="0" i="1">
                          <a:solidFill>
                            <a:schemeClr val="tx1"/>
                          </a:solidFill>
                          <a:effectLst/>
                          <a:latin typeface="Cambria Math" panose="02040503050406030204" pitchFamily="18" charset="0"/>
                          <a:ea typeface="+mn-ea"/>
                          <a:cs typeface="+mn-cs"/>
                        </a:rPr>
                        <m:t>   </m:t>
                      </m:r>
                    </m:oMath>
                  </m:oMathPara>
                </a14:m>
                <a:endParaRPr lang="en-US" sz="1200"/>
              </a:p>
            </xdr:txBody>
          </xdr:sp>
        </mc:Choice>
        <mc:Fallback xmlns="">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9001700" y="2431370"/>
                <a:ext cx="2593257" cy="469717"/>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200" b="0" i="0">
                    <a:solidFill>
                      <a:schemeClr val="tx1"/>
                    </a:solidFill>
                    <a:effectLst/>
                    <a:latin typeface="Cambria Math" panose="02040503050406030204" pitchFamily="18" charset="0"/>
                    <a:ea typeface="+mn-ea"/>
                    <a:cs typeface="+mn-cs"/>
                  </a:rPr>
                  <a:t>𝑄_ℎ=(2𝜋∗𝑠∗𝐾∗2∗𝑀𝑧)/(𝐿𝑛(𝑟_𝑒⁄𝑟_𝑤 ))    </a:t>
                </a:r>
                <a:endParaRPr lang="en-US" sz="1200"/>
              </a:p>
            </xdr:txBody>
          </xdr:sp>
        </mc:Fallback>
      </mc:AlternateContent>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9251985" y="2933111"/>
                <a:ext cx="2056597" cy="400366"/>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𝑄</m:t>
                          </m:r>
                        </m:e>
                        <m:sub>
                          <m:r>
                            <a:rPr lang="en-US" sz="1200" b="0" i="1">
                              <a:latin typeface="Cambria Math" panose="02040503050406030204" pitchFamily="18" charset="0"/>
                            </a:rPr>
                            <m:t>𝑤</m:t>
                          </m:r>
                        </m:sub>
                      </m:sSub>
                      <m:r>
                        <a:rPr lang="en-US" sz="1200" b="0" i="1">
                          <a:latin typeface="Cambria Math" panose="02040503050406030204" pitchFamily="18" charset="0"/>
                        </a:rPr>
                        <m:t>=</m:t>
                      </m:r>
                      <m:f>
                        <m:fPr>
                          <m:ctrlPr>
                            <a:rPr lang="en-US" sz="1200" b="0" i="1">
                              <a:latin typeface="Cambria Math" panose="02040503050406030204" pitchFamily="18" charset="0"/>
                            </a:rPr>
                          </m:ctrlPr>
                        </m:fPr>
                        <m:num>
                          <m:r>
                            <a:rPr lang="en-US" sz="1200" b="0" i="1">
                              <a:solidFill>
                                <a:schemeClr val="tx1"/>
                              </a:solidFill>
                              <a:effectLst/>
                              <a:latin typeface="Cambria Math" panose="02040503050406030204" pitchFamily="18" charset="0"/>
                              <a:ea typeface="+mn-ea"/>
                              <a:cs typeface="+mn-cs"/>
                            </a:rPr>
                            <m:t>𝐴𝑟𝑒</m:t>
                          </m:r>
                          <m:sSub>
                            <m:sSubPr>
                              <m:ctrlPr>
                                <a:rPr lang="en-US" sz="1200" b="0" i="1">
                                  <a:solidFill>
                                    <a:schemeClr val="tx1"/>
                                  </a:solidFill>
                                  <a:effectLst/>
                                  <a:latin typeface="Cambria Math" panose="02040503050406030204" pitchFamily="18" charset="0"/>
                                  <a:ea typeface="+mn-ea"/>
                                  <a:cs typeface="+mn-cs"/>
                                </a:rPr>
                              </m:ctrlPr>
                            </m:sSubPr>
                            <m:e>
                              <m:r>
                                <a:rPr lang="en-US" sz="1200" b="0" i="1">
                                  <a:solidFill>
                                    <a:schemeClr val="tx1"/>
                                  </a:solidFill>
                                  <a:effectLst/>
                                  <a:latin typeface="Cambria Math" panose="02040503050406030204" pitchFamily="18" charset="0"/>
                                  <a:ea typeface="+mn-ea"/>
                                  <a:cs typeface="+mn-cs"/>
                                </a:rPr>
                                <m:t>𝑎</m:t>
                              </m:r>
                            </m:e>
                            <m:sub>
                              <m:r>
                                <a:rPr lang="en-US" sz="1200" b="0" i="1">
                                  <a:solidFill>
                                    <a:schemeClr val="tx1"/>
                                  </a:solidFill>
                                  <a:effectLst/>
                                  <a:latin typeface="Cambria Math" panose="02040503050406030204" pitchFamily="18" charset="0"/>
                                  <a:ea typeface="+mn-ea"/>
                                  <a:cs typeface="+mn-cs"/>
                                </a:rPr>
                                <m:t>𝑤𝑒𝑙𝑙</m:t>
                              </m:r>
                            </m:sub>
                          </m:sSub>
                          <m:r>
                            <a:rPr lang="en-US" sz="1200" b="0" i="1">
                              <a:solidFill>
                                <a:schemeClr val="tx1"/>
                              </a:solidFill>
                              <a:effectLst/>
                              <a:latin typeface="Cambria Math" panose="02040503050406030204" pitchFamily="18" charset="0"/>
                              <a:ea typeface="+mn-ea"/>
                              <a:cs typeface="+mn-cs"/>
                            </a:rPr>
                            <m:t>∗</m:t>
                          </m:r>
                          <m:r>
                            <m:rPr>
                              <m:nor/>
                            </m:rPr>
                            <a:rPr lang="en-US" sz="1200" b="0" i="0">
                              <a:solidFill>
                                <a:schemeClr val="tx1"/>
                              </a:solidFill>
                              <a:effectLst/>
                              <a:latin typeface="Cambria Math" panose="02040503050406030204" pitchFamily="18" charset="0"/>
                              <a:ea typeface="+mn-ea"/>
                              <a:cs typeface="+mn-cs"/>
                            </a:rPr>
                            <m:t>s</m:t>
                          </m:r>
                          <m:r>
                            <m:rPr>
                              <m:nor/>
                            </m:rPr>
                            <a:rPr lang="en-US" sz="1200">
                              <a:effectLst/>
                            </a:rPr>
                            <m:t> </m:t>
                          </m:r>
                        </m:num>
                        <m:den>
                          <m:sSub>
                            <m:sSubPr>
                              <m:ctrlPr>
                                <a:rPr lang="en-US" sz="1200" b="0" i="1">
                                  <a:latin typeface="Cambria Math" panose="02040503050406030204" pitchFamily="18" charset="0"/>
                                </a:rPr>
                              </m:ctrlPr>
                            </m:sSubPr>
                            <m:e>
                              <m:r>
                                <a:rPr lang="en-US" sz="1200" b="0" i="1">
                                  <a:latin typeface="Cambria Math" panose="02040503050406030204" pitchFamily="18" charset="0"/>
                                </a:rPr>
                                <m:t>𝑡</m:t>
                              </m:r>
                            </m:e>
                            <m:sub>
                              <m:r>
                                <a:rPr lang="en-US" sz="1200" b="0" i="1">
                                  <a:latin typeface="Cambria Math" panose="02040503050406030204" pitchFamily="18" charset="0"/>
                                </a:rPr>
                                <m:t>𝑝𝑢𝑟𝑔𝑒</m:t>
                              </m:r>
                            </m:sub>
                          </m:sSub>
                        </m:den>
                      </m:f>
                    </m:oMath>
                  </m:oMathPara>
                </a14:m>
                <a:endParaRPr lang="en-US" sz="1200"/>
              </a:p>
            </xdr:txBody>
          </xdr:sp>
        </mc:Choice>
        <mc:Fallback xmlns="">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9251985" y="2933111"/>
                <a:ext cx="2056597" cy="400366"/>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200" b="0" i="0">
                    <a:latin typeface="Cambria Math" panose="02040503050406030204" pitchFamily="18" charset="0"/>
                  </a:rPr>
                  <a:t>𝑄_𝑤=(</a:t>
                </a:r>
                <a:r>
                  <a:rPr lang="en-US" sz="1200" b="0" i="0">
                    <a:solidFill>
                      <a:schemeClr val="tx1"/>
                    </a:solidFill>
                    <a:effectLst/>
                    <a:latin typeface="Cambria Math" panose="02040503050406030204" pitchFamily="18" charset="0"/>
                    <a:ea typeface="+mn-ea"/>
                    <a:cs typeface="+mn-cs"/>
                  </a:rPr>
                  <a:t>𝐴𝑟𝑒𝑎_𝑤𝑒𝑙𝑙∗"s</a:t>
                </a:r>
                <a:r>
                  <a:rPr lang="en-US" sz="1200" i="0">
                    <a:effectLst/>
                  </a:rPr>
                  <a:t> </a:t>
                </a:r>
                <a:r>
                  <a:rPr lang="en-US" sz="1200" i="0">
                    <a:effectLst/>
                    <a:latin typeface="Cambria Math" panose="02040503050406030204" pitchFamily="18" charset="0"/>
                  </a:rPr>
                  <a:t>" </a:t>
                </a:r>
                <a:r>
                  <a:rPr lang="en-US" sz="1200" b="0" i="0">
                    <a:effectLst/>
                    <a:latin typeface="Cambria Math" panose="02040503050406030204" pitchFamily="18" charset="0"/>
                  </a:rPr>
                  <a:t>)/</a:t>
                </a:r>
                <a:r>
                  <a:rPr lang="en-US" sz="1200" b="0" i="0">
                    <a:latin typeface="Cambria Math" panose="02040503050406030204" pitchFamily="18" charset="0"/>
                  </a:rPr>
                  <a:t>𝑡_𝑝𝑢𝑟𝑔𝑒 </a:t>
                </a:r>
                <a:endParaRPr lang="en-US" sz="1200"/>
              </a:p>
            </xdr:txBody>
          </xdr:sp>
        </mc:Fallback>
      </mc:AlternateContent>
    </xdr:grpSp>
    <xdr:clientData/>
  </xdr:twoCellAnchor>
  <xdr:twoCellAnchor>
    <xdr:from>
      <xdr:col>6</xdr:col>
      <xdr:colOff>99482</xdr:colOff>
      <xdr:row>4</xdr:row>
      <xdr:rowOff>305408</xdr:rowOff>
    </xdr:from>
    <xdr:to>
      <xdr:col>7</xdr:col>
      <xdr:colOff>977900</xdr:colOff>
      <xdr:row>5</xdr:row>
      <xdr:rowOff>241299</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329082" y="2159608"/>
              <a:ext cx="2415118" cy="253391"/>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𝑄</m:t>
                        </m:r>
                      </m:e>
                      <m:sub>
                        <m:r>
                          <a:rPr lang="en-US" sz="1200" b="0" i="1">
                            <a:latin typeface="Cambria Math" panose="02040503050406030204" pitchFamily="18" charset="0"/>
                          </a:rPr>
                          <m:t>𝑣</m:t>
                        </m:r>
                      </m:sub>
                    </m:sSub>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𝑄</m:t>
                        </m:r>
                      </m:e>
                      <m:sub>
                        <m:r>
                          <a:rPr lang="en-US" sz="1200" b="0" i="1">
                            <a:latin typeface="Cambria Math" panose="02040503050406030204" pitchFamily="18" charset="0"/>
                          </a:rPr>
                          <m:t>𝑝</m:t>
                        </m:r>
                      </m:sub>
                    </m:sSub>
                    <m:r>
                      <a:rPr lang="en-US" sz="1200" b="0" i="1">
                        <a:latin typeface="Cambria Math" panose="02040503050406030204" pitchFamily="18" charset="0"/>
                      </a:rPr>
                      <m:t>−</m:t>
                    </m:r>
                    <m:d>
                      <m:dPr>
                        <m:ctrlPr>
                          <a:rPr lang="en-US" sz="1200" b="0" i="1">
                            <a:latin typeface="Cambria Math" panose="02040503050406030204" pitchFamily="18" charset="0"/>
                          </a:rPr>
                        </m:ctrlPr>
                      </m:dPr>
                      <m:e>
                        <m:sSub>
                          <m:sSubPr>
                            <m:ctrlPr>
                              <a:rPr lang="en-US" sz="1200" b="0" i="1">
                                <a:latin typeface="Cambria Math" panose="02040503050406030204" pitchFamily="18" charset="0"/>
                              </a:rPr>
                            </m:ctrlPr>
                          </m:sSubPr>
                          <m:e>
                            <m:r>
                              <a:rPr lang="en-US" sz="1200" b="0" i="1">
                                <a:latin typeface="Cambria Math" panose="02040503050406030204" pitchFamily="18" charset="0"/>
                              </a:rPr>
                              <m:t>𝑄</m:t>
                            </m:r>
                          </m:e>
                          <m:sub>
                            <m:r>
                              <a:rPr lang="en-US" sz="1200" b="0" i="1">
                                <a:latin typeface="Cambria Math" panose="02040503050406030204" pitchFamily="18" charset="0"/>
                              </a:rPr>
                              <m:t>h</m:t>
                            </m:r>
                          </m:sub>
                        </m:sSub>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𝑄</m:t>
                            </m:r>
                          </m:e>
                          <m:sub>
                            <m:r>
                              <a:rPr lang="en-US" sz="1200" b="0" i="1">
                                <a:latin typeface="Cambria Math" panose="02040503050406030204" pitchFamily="18" charset="0"/>
                              </a:rPr>
                              <m:t>𝑤</m:t>
                            </m:r>
                          </m:sub>
                        </m:sSub>
                      </m:e>
                    </m:d>
                    <m:r>
                      <a:rPr lang="en-US" sz="1200" b="0" i="1">
                        <a:latin typeface="Cambria Math" panose="02040503050406030204" pitchFamily="18" charset="0"/>
                      </a:rPr>
                      <m:t>          </m:t>
                    </m:r>
                    <m:r>
                      <a:rPr lang="en-US" sz="1200" b="0" i="1">
                        <a:latin typeface="Cambria Math" panose="02040503050406030204" pitchFamily="18" charset="0"/>
                      </a:rPr>
                      <m:t>𝑒𝑞</m:t>
                    </m:r>
                    <m:r>
                      <a:rPr lang="en-US" sz="1200" b="0" i="1">
                        <a:latin typeface="Cambria Math" panose="02040503050406030204" pitchFamily="18" charset="0"/>
                      </a:rPr>
                      <m:t>. 1</m:t>
                    </m:r>
                  </m:oMath>
                </m:oMathPara>
              </a14:m>
              <a:endParaRPr lang="en-US" sz="1200"/>
            </a:p>
          </xdr:txBody>
        </xdr:sp>
      </mc:Choice>
      <mc:Fallback xmlns="">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329082" y="2159608"/>
              <a:ext cx="2415118" cy="253391"/>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200" b="0" i="0">
                  <a:latin typeface="Cambria Math" panose="02040503050406030204" pitchFamily="18" charset="0"/>
                </a:rPr>
                <a:t>𝑄_𝑣=𝑄_𝑝−(𝑄_ℎ+𝑄_𝑤 )           𝑒𝑞. 1</a:t>
              </a:r>
              <a:endParaRPr lang="en-US" sz="1200"/>
            </a:p>
          </xdr:txBody>
        </xdr:sp>
      </mc:Fallback>
    </mc:AlternateContent>
    <xdr:clientData/>
  </xdr:twoCellAnchor>
  <xdr:oneCellAnchor>
    <xdr:from>
      <xdr:col>6</xdr:col>
      <xdr:colOff>849157</xdr:colOff>
      <xdr:row>12</xdr:row>
      <xdr:rowOff>93863</xdr:rowOff>
    </xdr:from>
    <xdr:ext cx="964495" cy="191334"/>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9078757" y="4411863"/>
              <a:ext cx="964495" cy="191334"/>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𝐴</m:t>
                        </m:r>
                      </m:e>
                      <m:sub>
                        <m:r>
                          <a:rPr lang="en-US" sz="1200" b="0" i="1">
                            <a:latin typeface="Cambria Math" panose="02040503050406030204" pitchFamily="18" charset="0"/>
                          </a:rPr>
                          <m:t>𝑤𝑒𝑙𝑙</m:t>
                        </m:r>
                      </m:sub>
                    </m:sSub>
                    <m:r>
                      <a:rPr lang="en-US" sz="1200" b="0" i="1">
                        <a:latin typeface="Cambria Math" panose="02040503050406030204" pitchFamily="18" charset="0"/>
                      </a:rPr>
                      <m:t>=</m:t>
                    </m:r>
                    <m:r>
                      <a:rPr lang="en-US" sz="1200" b="0" i="1">
                        <a:latin typeface="Cambria Math" panose="02040503050406030204" pitchFamily="18" charset="0"/>
                        <a:ea typeface="Cambria Math" panose="02040503050406030204" pitchFamily="18" charset="0"/>
                      </a:rPr>
                      <m:t>𝜋</m:t>
                    </m:r>
                    <m:r>
                      <a:rPr lang="en-US" sz="1200" b="0" i="1">
                        <a:latin typeface="Cambria Math" panose="02040503050406030204" pitchFamily="18" charset="0"/>
                        <a:ea typeface="Cambria Math" panose="02040503050406030204" pitchFamily="18" charset="0"/>
                      </a:rPr>
                      <m:t>∗</m:t>
                    </m:r>
                    <m:sSubSup>
                      <m:sSubSupPr>
                        <m:ctrlPr>
                          <a:rPr lang="en-US" sz="1200" b="0" i="1">
                            <a:latin typeface="Cambria Math" panose="02040503050406030204" pitchFamily="18" charset="0"/>
                            <a:ea typeface="Cambria Math" panose="02040503050406030204" pitchFamily="18" charset="0"/>
                          </a:rPr>
                        </m:ctrlPr>
                      </m:sSubSupPr>
                      <m:e>
                        <m:r>
                          <a:rPr lang="en-US" sz="1200" b="0" i="1">
                            <a:latin typeface="Cambria Math" panose="02040503050406030204" pitchFamily="18" charset="0"/>
                            <a:ea typeface="Cambria Math" panose="02040503050406030204" pitchFamily="18" charset="0"/>
                          </a:rPr>
                          <m:t>𝑟</m:t>
                        </m:r>
                      </m:e>
                      <m:sub>
                        <m:r>
                          <a:rPr lang="en-US" sz="1200" b="0" i="1">
                            <a:latin typeface="Cambria Math" panose="02040503050406030204" pitchFamily="18" charset="0"/>
                            <a:ea typeface="Cambria Math" panose="02040503050406030204" pitchFamily="18" charset="0"/>
                          </a:rPr>
                          <m:t>𝑤</m:t>
                        </m:r>
                      </m:sub>
                      <m:sup>
                        <m:r>
                          <a:rPr lang="en-US" sz="1200" b="0" i="1">
                            <a:latin typeface="Cambria Math" panose="02040503050406030204" pitchFamily="18" charset="0"/>
                            <a:ea typeface="Cambria Math" panose="02040503050406030204" pitchFamily="18" charset="0"/>
                          </a:rPr>
                          <m:t>2</m:t>
                        </m:r>
                      </m:sup>
                    </m:sSubSup>
                  </m:oMath>
                </m:oMathPara>
              </a14:m>
              <a:endParaRPr lang="en-US" sz="1200"/>
            </a:p>
          </xdr:txBody>
        </xdr:sp>
      </mc:Choice>
      <mc:Fallback xmlns="">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9078757" y="4411863"/>
              <a:ext cx="964495" cy="191334"/>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0" i="0">
                  <a:latin typeface="Cambria Math" panose="02040503050406030204" pitchFamily="18" charset="0"/>
                </a:rPr>
                <a:t>𝐴_𝑤𝑒𝑙𝑙=</a:t>
              </a:r>
              <a:r>
                <a:rPr lang="en-US" sz="1200" b="0" i="0">
                  <a:latin typeface="Cambria Math" panose="02040503050406030204" pitchFamily="18" charset="0"/>
                  <a:ea typeface="Cambria Math" panose="02040503050406030204" pitchFamily="18" charset="0"/>
                </a:rPr>
                <a:t>𝜋∗𝑟_𝑤^2</a:t>
              </a:r>
              <a:endParaRPr lang="en-US" sz="1200"/>
            </a:p>
          </xdr:txBody>
        </xdr:sp>
      </mc:Fallback>
    </mc:AlternateContent>
    <xdr:clientData/>
  </xdr:oneCellAnchor>
  <xdr:oneCellAnchor>
    <xdr:from>
      <xdr:col>4</xdr:col>
      <xdr:colOff>73781</xdr:colOff>
      <xdr:row>20</xdr:row>
      <xdr:rowOff>25400</xdr:rowOff>
    </xdr:from>
    <xdr:ext cx="1796517" cy="353119"/>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5229981" y="7366000"/>
              <a:ext cx="1796517" cy="353119"/>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𝑉𝑒𝑙𝑜𝑐𝑖𝑡𝑦</m:t>
                    </m:r>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𝑄</m:t>
                        </m:r>
                      </m:num>
                      <m:den>
                        <m:r>
                          <a:rPr lang="en-US" sz="1100" b="0" i="1">
                            <a:latin typeface="Cambria Math" panose="02040503050406030204" pitchFamily="18" charset="0"/>
                          </a:rPr>
                          <m:t>𝐴</m:t>
                        </m:r>
                        <m:r>
                          <a:rPr lang="en-US" sz="1100" b="0" i="1" baseline="-25000">
                            <a:latin typeface="Cambria Math" panose="02040503050406030204" pitchFamily="18" charset="0"/>
                          </a:rPr>
                          <m:t>𝑤𝑒𝑙𝑙</m:t>
                        </m:r>
                      </m:den>
                    </m:f>
                    <m:r>
                      <a:rPr lang="en-US" sz="1100" b="0" i="1">
                        <a:latin typeface="Cambria Math" panose="02040503050406030204" pitchFamily="18" charset="0"/>
                      </a:rPr>
                      <m:t> </m:t>
                    </m:r>
                    <m:r>
                      <a:rPr lang="en-US" sz="1100" b="0" i="1">
                        <a:latin typeface="Cambria Math" panose="02040503050406030204" pitchFamily="18" charset="0"/>
                      </a:rPr>
                      <m:t>𝑜𝑟</m:t>
                    </m:r>
                    <m:r>
                      <a:rPr lang="en-US" sz="1100" b="0" i="1">
                        <a:latin typeface="Cambria Math" panose="02040503050406030204" pitchFamily="18" charset="0"/>
                      </a:rPr>
                      <m:t> </m:t>
                    </m:r>
                    <m:f>
                      <m:fPr>
                        <m:ctrlPr>
                          <a:rPr lang="en-US" sz="1100" b="0" i="1">
                            <a:latin typeface="Cambria Math" panose="02040503050406030204" pitchFamily="18" charset="0"/>
                          </a:rPr>
                        </m:ctrlPr>
                      </m:fPr>
                      <m:num>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𝐿𝑒𝑛𝑔𝑡h</m:t>
                        </m:r>
                      </m:num>
                      <m:den>
                        <m:r>
                          <a:rPr lang="en-US" sz="1100" b="0" i="1">
                            <a:latin typeface="Cambria Math" panose="02040503050406030204" pitchFamily="18" charset="0"/>
                          </a:rPr>
                          <m:t>𝑡𝑖𝑚𝑒</m:t>
                        </m:r>
                      </m:den>
                    </m:f>
                  </m:oMath>
                </m:oMathPara>
              </a14:m>
              <a:endParaRPr lang="en-US" sz="1100"/>
            </a:p>
          </xdr:txBody>
        </xdr:sp>
      </mc:Choice>
      <mc:Fallback xmlns="">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5229981" y="7366000"/>
              <a:ext cx="1796517" cy="353119"/>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𝑉𝑒𝑙𝑜𝑐𝑖𝑡𝑦=𝑄/𝐴</a:t>
              </a:r>
              <a:r>
                <a:rPr lang="en-US" sz="1100" b="0" i="0" baseline="-25000">
                  <a:latin typeface="Cambria Math" panose="02040503050406030204" pitchFamily="18" charset="0"/>
                </a:rPr>
                <a:t>𝑤𝑒𝑙𝑙 </a:t>
              </a:r>
              <a:r>
                <a:rPr lang="en-US" sz="1100" b="0" i="0">
                  <a:latin typeface="Cambria Math" panose="02040503050406030204" pitchFamily="18" charset="0"/>
                </a:rPr>
                <a:t> 𝑜𝑟 </a:t>
              </a:r>
              <a:r>
                <a:rPr lang="en-US" sz="1100" b="0" i="0">
                  <a:solidFill>
                    <a:schemeClr val="tx1"/>
                  </a:solidFill>
                  <a:effectLst/>
                  <a:latin typeface="Cambria Math" panose="02040503050406030204" pitchFamily="18" charset="0"/>
                  <a:ea typeface="+mn-ea"/>
                  <a:cs typeface="+mn-cs"/>
                </a:rPr>
                <a:t> ∆𝐿𝑒𝑛𝑔𝑡ℎ/</a:t>
              </a:r>
              <a:r>
                <a:rPr lang="en-US" sz="1100" b="0" i="0">
                  <a:latin typeface="Cambria Math" panose="02040503050406030204" pitchFamily="18" charset="0"/>
                </a:rPr>
                <a:t>𝑡𝑖𝑚𝑒</a:t>
              </a:r>
              <a:endParaRPr lang="en-US" sz="1100"/>
            </a:p>
          </xdr:txBody>
        </xdr:sp>
      </mc:Fallback>
    </mc:AlternateContent>
    <xdr:clientData/>
  </xdr:oneCellAnchor>
  <xdr:twoCellAnchor>
    <xdr:from>
      <xdr:col>2</xdr:col>
      <xdr:colOff>584200</xdr:colOff>
      <xdr:row>3</xdr:row>
      <xdr:rowOff>50800</xdr:rowOff>
    </xdr:from>
    <xdr:to>
      <xdr:col>4</xdr:col>
      <xdr:colOff>368300</xdr:colOff>
      <xdr:row>13</xdr:row>
      <xdr:rowOff>0</xdr:rowOff>
    </xdr:to>
    <xdr:sp macro="" textlink="">
      <xdr:nvSpPr>
        <xdr:cNvPr id="8" name="Right Brace 7">
          <a:extLst>
            <a:ext uri="{FF2B5EF4-FFF2-40B4-BE49-F238E27FC236}">
              <a16:creationId xmlns:a16="http://schemas.microsoft.com/office/drawing/2014/main" id="{00000000-0008-0000-0100-000008000000}"/>
            </a:ext>
          </a:extLst>
        </xdr:cNvPr>
        <xdr:cNvSpPr/>
      </xdr:nvSpPr>
      <xdr:spPr>
        <a:xfrm>
          <a:off x="4787900" y="1651000"/>
          <a:ext cx="736600" cy="3492500"/>
        </a:xfrm>
        <a:prstGeom prst="rightBrace">
          <a:avLst>
            <a:gd name="adj1" fmla="val 79284"/>
            <a:gd name="adj2" fmla="val 27889"/>
          </a:avLst>
        </a:prstGeom>
        <a:ln w="15875"/>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4</xdr:col>
      <xdr:colOff>457200</xdr:colOff>
      <xdr:row>3</xdr:row>
      <xdr:rowOff>173566</xdr:rowOff>
    </xdr:from>
    <xdr:to>
      <xdr:col>5</xdr:col>
      <xdr:colOff>488950</xdr:colOff>
      <xdr:row>10</xdr:row>
      <xdr:rowOff>184150</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5613400" y="1773766"/>
          <a:ext cx="1568450" cy="1852084"/>
        </a:xfrm>
        <a:prstGeom prst="rect">
          <a:avLst/>
        </a:prstGeom>
        <a:ln>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US" sz="1100" b="1"/>
            <a:t>Input Data  (Gray cells) including static</a:t>
          </a:r>
          <a:r>
            <a:rPr lang="en-US" sz="1100" b="1" baseline="0"/>
            <a:t> water levels, well geometry, average pump rate, drawdown, pumping time, and heterogeneity factor. </a:t>
          </a:r>
          <a:endParaRPr lang="en-US" sz="1100" b="1"/>
        </a:p>
      </xdr:txBody>
    </xdr:sp>
    <xdr:clientData/>
  </xdr:twoCellAnchor>
  <xdr:oneCellAnchor>
    <xdr:from>
      <xdr:col>4</xdr:col>
      <xdr:colOff>90642</xdr:colOff>
      <xdr:row>18</xdr:row>
      <xdr:rowOff>393077</xdr:rowOff>
    </xdr:from>
    <xdr:ext cx="1429622"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5066054" y="6802842"/>
              <a:ext cx="1429622" cy="18787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𝑉𝑜</m:t>
                    </m:r>
                    <m:sSub>
                      <m:sSubPr>
                        <m:ctrlPr>
                          <a:rPr lang="en-US" sz="1200" b="0" i="1">
                            <a:latin typeface="Cambria Math" panose="02040503050406030204" pitchFamily="18" charset="0"/>
                          </a:rPr>
                        </m:ctrlPr>
                      </m:sSubPr>
                      <m:e>
                        <m:r>
                          <a:rPr lang="en-US" sz="1200" b="0" i="1">
                            <a:latin typeface="Cambria Math" panose="02040503050406030204" pitchFamily="18" charset="0"/>
                          </a:rPr>
                          <m:t>𝑙</m:t>
                        </m:r>
                      </m:e>
                      <m:sub>
                        <m:r>
                          <a:rPr lang="en-US" sz="1200" b="0" i="1">
                            <a:latin typeface="Cambria Math" panose="02040503050406030204" pitchFamily="18" charset="0"/>
                          </a:rPr>
                          <m:t>𝑤𝑏</m:t>
                        </m:r>
                      </m:sub>
                    </m:sSub>
                    <m:r>
                      <a:rPr lang="en-US" sz="1200" b="0" i="1">
                        <a:latin typeface="Cambria Math" panose="02040503050406030204" pitchFamily="18" charset="0"/>
                      </a:rPr>
                      <m:t>=</m:t>
                    </m:r>
                    <m:r>
                      <a:rPr lang="en-US" sz="1200" b="0" i="1">
                        <a:latin typeface="Cambria Math" panose="02040503050406030204" pitchFamily="18" charset="0"/>
                      </a:rPr>
                      <m:t>𝑠</m:t>
                    </m:r>
                    <m:r>
                      <a:rPr lang="en-US" sz="1200" b="0" i="1">
                        <a:latin typeface="Cambria Math" panose="02040503050406030204" pitchFamily="18" charset="0"/>
                      </a:rPr>
                      <m:t>∗</m:t>
                    </m:r>
                    <m:r>
                      <a:rPr lang="en-US" sz="1200" b="0" i="1">
                        <a:latin typeface="Cambria Math" panose="02040503050406030204" pitchFamily="18" charset="0"/>
                      </a:rPr>
                      <m:t>𝐴𝑟𝑒</m:t>
                    </m:r>
                    <m:sSub>
                      <m:sSubPr>
                        <m:ctrlPr>
                          <a:rPr lang="en-US" sz="1200" b="0" i="1">
                            <a:latin typeface="Cambria Math" panose="02040503050406030204" pitchFamily="18" charset="0"/>
                          </a:rPr>
                        </m:ctrlPr>
                      </m:sSubPr>
                      <m:e>
                        <m:r>
                          <a:rPr lang="en-US" sz="1200" b="0" i="1">
                            <a:latin typeface="Cambria Math" panose="02040503050406030204" pitchFamily="18" charset="0"/>
                          </a:rPr>
                          <m:t>𝑎</m:t>
                        </m:r>
                      </m:e>
                      <m:sub>
                        <m:r>
                          <a:rPr lang="en-US" sz="1200" b="0" i="1">
                            <a:latin typeface="Cambria Math" panose="02040503050406030204" pitchFamily="18" charset="0"/>
                          </a:rPr>
                          <m:t>𝑤𝑒𝑙𝑙</m:t>
                        </m:r>
                      </m:sub>
                    </m:sSub>
                  </m:oMath>
                </m:oMathPara>
              </a14:m>
              <a:endParaRPr lang="en-US" sz="1200"/>
            </a:p>
          </xdr:txBody>
        </xdr:sp>
      </mc:Choice>
      <mc:Fallback xmlns="">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5066054" y="6802842"/>
              <a:ext cx="1429622" cy="18787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0" i="0">
                  <a:latin typeface="Cambria Math" panose="02040503050406030204" pitchFamily="18" charset="0"/>
                </a:rPr>
                <a:t>𝑉𝑜𝑙_𝑤𝑏=𝑠∗𝐴𝑟𝑒𝑎_𝑤𝑒𝑙𝑙</a:t>
              </a:r>
              <a:endParaRPr lang="en-US" sz="1200"/>
            </a:p>
          </xdr:txBody>
        </xdr:sp>
      </mc:Fallback>
    </mc:AlternateContent>
    <xdr:clientData/>
  </xdr:oneCellAnchor>
  <xdr:oneCellAnchor>
    <xdr:from>
      <xdr:col>6</xdr:col>
      <xdr:colOff>725287</xdr:colOff>
      <xdr:row>12</xdr:row>
      <xdr:rowOff>373887</xdr:rowOff>
    </xdr:from>
    <xdr:ext cx="1367362" cy="19973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954887" y="4691887"/>
              <a:ext cx="1367362" cy="199735"/>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𝐴</m:t>
                        </m:r>
                      </m:e>
                      <m:sub>
                        <m:r>
                          <a:rPr lang="en-US" sz="1200" b="0" i="1">
                            <a:latin typeface="Cambria Math" panose="02040503050406030204" pitchFamily="18" charset="0"/>
                          </a:rPr>
                          <m:t>𝑟𝑎𝑑</m:t>
                        </m:r>
                        <m:r>
                          <a:rPr lang="en-US" sz="1200" b="0" i="1">
                            <a:latin typeface="Cambria Math" panose="02040503050406030204" pitchFamily="18" charset="0"/>
                          </a:rPr>
                          <m:t>−2</m:t>
                        </m:r>
                        <m:r>
                          <a:rPr lang="en-US" sz="1200" b="0" i="1">
                            <a:latin typeface="Cambria Math" panose="02040503050406030204" pitchFamily="18" charset="0"/>
                          </a:rPr>
                          <m:t>𝑓𝑡</m:t>
                        </m:r>
                      </m:sub>
                    </m:sSub>
                    <m:r>
                      <a:rPr lang="en-US" sz="1200" b="0" i="1">
                        <a:latin typeface="Cambria Math" panose="02040503050406030204" pitchFamily="18" charset="0"/>
                      </a:rPr>
                      <m:t>=2</m:t>
                    </m:r>
                    <m:r>
                      <a:rPr lang="en-US" sz="1200" b="0" i="1">
                        <a:latin typeface="Cambria Math" panose="02040503050406030204" pitchFamily="18" charset="0"/>
                        <a:ea typeface="Cambria Math" panose="02040503050406030204" pitchFamily="18" charset="0"/>
                      </a:rPr>
                      <m:t>𝜋</m:t>
                    </m:r>
                    <m:sSub>
                      <m:sSubPr>
                        <m:ctrlPr>
                          <a:rPr lang="en-US" sz="1200" b="0" i="1">
                            <a:latin typeface="Cambria Math" panose="02040503050406030204" pitchFamily="18" charset="0"/>
                            <a:ea typeface="Cambria Math" panose="02040503050406030204" pitchFamily="18" charset="0"/>
                          </a:rPr>
                        </m:ctrlPr>
                      </m:sSubPr>
                      <m:e>
                        <m:r>
                          <a:rPr lang="en-US" sz="1200" b="0" i="1">
                            <a:latin typeface="Cambria Math" panose="02040503050406030204" pitchFamily="18" charset="0"/>
                            <a:ea typeface="Cambria Math" panose="02040503050406030204" pitchFamily="18" charset="0"/>
                          </a:rPr>
                          <m:t>𝑟</m:t>
                        </m:r>
                      </m:e>
                      <m:sub>
                        <m:r>
                          <a:rPr lang="en-US" sz="1200" b="0" i="1">
                            <a:latin typeface="Cambria Math" panose="02040503050406030204" pitchFamily="18" charset="0"/>
                            <a:ea typeface="Cambria Math" panose="02040503050406030204" pitchFamily="18" charset="0"/>
                          </a:rPr>
                          <m:t>𝑤</m:t>
                        </m:r>
                      </m:sub>
                    </m:sSub>
                    <m:r>
                      <a:rPr lang="en-US" sz="1200" b="0" i="1">
                        <a:latin typeface="Cambria Math" panose="02040503050406030204" pitchFamily="18" charset="0"/>
                        <a:ea typeface="Cambria Math" panose="02040503050406030204" pitchFamily="18" charset="0"/>
                      </a:rPr>
                      <m:t>∗2</m:t>
                    </m:r>
                  </m:oMath>
                </m:oMathPara>
              </a14:m>
              <a:endParaRPr lang="en-US" sz="1200"/>
            </a:p>
          </xdr:txBody>
        </xdr:sp>
      </mc:Choice>
      <mc:Fallback xmlns="">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954887" y="4691887"/>
              <a:ext cx="1367362" cy="199735"/>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0" i="0">
                  <a:latin typeface="Cambria Math" panose="02040503050406030204" pitchFamily="18" charset="0"/>
                </a:rPr>
                <a:t>𝐴_(𝑟𝑎𝑑−2𝑓𝑡)=2</a:t>
              </a:r>
              <a:r>
                <a:rPr lang="en-US" sz="1200" b="0" i="0">
                  <a:latin typeface="Cambria Math" panose="02040503050406030204" pitchFamily="18" charset="0"/>
                  <a:ea typeface="Cambria Math" panose="02040503050406030204" pitchFamily="18" charset="0"/>
                </a:rPr>
                <a:t>𝜋𝑟_𝑤∗2</a:t>
              </a:r>
              <a:endParaRPr lang="en-US" sz="1200"/>
            </a:p>
          </xdr:txBody>
        </xdr:sp>
      </mc:Fallback>
    </mc:AlternateContent>
    <xdr:clientData/>
  </xdr:oneCellAnchor>
  <mc:AlternateContent xmlns:mc="http://schemas.openxmlformats.org/markup-compatibility/2006">
    <mc:Choice xmlns:a14="http://schemas.microsoft.com/office/drawing/2010/main" Requires="a14">
      <xdr:twoCellAnchor>
        <xdr:from>
          <xdr:col>9</xdr:col>
          <xdr:colOff>137160</xdr:colOff>
          <xdr:row>24</xdr:row>
          <xdr:rowOff>30480</xdr:rowOff>
        </xdr:from>
        <xdr:to>
          <xdr:col>10</xdr:col>
          <xdr:colOff>464820</xdr:colOff>
          <xdr:row>28</xdr:row>
          <xdr:rowOff>487680</xdr:rowOff>
        </xdr:to>
        <xdr:sp macro="" textlink="">
          <xdr:nvSpPr>
            <xdr:cNvPr id="1036" name="Button 12" descr="Click to Run Model"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2600" b="1" i="0" u="none" strike="noStrike" baseline="0">
                  <a:solidFill>
                    <a:srgbClr val="000000"/>
                  </a:solidFill>
                  <a:latin typeface="Calibri"/>
                  <a:cs typeface="Calibri"/>
                </a:rPr>
                <a:t>Run Model </a:t>
              </a:r>
              <a:endParaRPr lang="en-US" sz="1600" b="1" i="0" u="none" strike="noStrike" baseline="0">
                <a:solidFill>
                  <a:srgbClr val="000000"/>
                </a:solidFill>
                <a:latin typeface="Calibri"/>
                <a:cs typeface="Calibri"/>
              </a:endParaRPr>
            </a:p>
            <a:p>
              <a:pPr algn="ctr" rtl="0">
                <a:defRPr sz="1000"/>
              </a:pPr>
              <a:r>
                <a:rPr lang="en-US" sz="1600" b="1" i="0" u="none" strike="noStrike" baseline="0">
                  <a:solidFill>
                    <a:srgbClr val="000000"/>
                  </a:solidFill>
                  <a:latin typeface="Calibri"/>
                  <a:cs typeface="Calibri"/>
                </a:rPr>
                <a:t>(Reverse Mode for calculation of Kavg)</a:t>
              </a:r>
            </a:p>
          </xdr:txBody>
        </xdr:sp>
        <xdr:clientData fLocksWithSheet="0" fPrintsWithSheet="0"/>
      </xdr:twoCellAnchor>
    </mc:Choice>
    <mc:Fallback/>
  </mc:AlternateContent>
  <xdr:twoCellAnchor>
    <xdr:from>
      <xdr:col>4</xdr:col>
      <xdr:colOff>1</xdr:colOff>
      <xdr:row>1</xdr:row>
      <xdr:rowOff>0</xdr:rowOff>
    </xdr:from>
    <xdr:to>
      <xdr:col>8</xdr:col>
      <xdr:colOff>1</xdr:colOff>
      <xdr:row>31</xdr:row>
      <xdr:rowOff>304800</xdr:rowOff>
    </xdr:to>
    <xdr:sp macro="" textlink="">
      <xdr:nvSpPr>
        <xdr:cNvPr id="12" name="Rectangle 11">
          <a:extLst>
            <a:ext uri="{FF2B5EF4-FFF2-40B4-BE49-F238E27FC236}">
              <a16:creationId xmlns:a16="http://schemas.microsoft.com/office/drawing/2014/main" id="{00000000-0008-0000-0100-00000C000000}"/>
            </a:ext>
          </a:extLst>
        </xdr:cNvPr>
        <xdr:cNvSpPr/>
      </xdr:nvSpPr>
      <xdr:spPr>
        <a:xfrm>
          <a:off x="5014105" y="1329906"/>
          <a:ext cx="5966604" cy="11123762"/>
        </a:xfrm>
        <a:prstGeom prst="rect">
          <a:avLst/>
        </a:prstGeom>
        <a:solidFill>
          <a:srgbClr val="FF0000">
            <a:alpha val="3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15</xdr:row>
      <xdr:rowOff>287548</xdr:rowOff>
    </xdr:from>
    <xdr:to>
      <xdr:col>3</xdr:col>
      <xdr:colOff>25400</xdr:colOff>
      <xdr:row>26</xdr:row>
      <xdr:rowOff>1</xdr:rowOff>
    </xdr:to>
    <xdr:sp macro="" textlink="">
      <xdr:nvSpPr>
        <xdr:cNvPr id="15" name="Rectangle 14">
          <a:extLst>
            <a:ext uri="{FF2B5EF4-FFF2-40B4-BE49-F238E27FC236}">
              <a16:creationId xmlns:a16="http://schemas.microsoft.com/office/drawing/2014/main" id="{00000000-0008-0000-0100-00000F000000}"/>
            </a:ext>
          </a:extLst>
        </xdr:cNvPr>
        <xdr:cNvSpPr/>
      </xdr:nvSpPr>
      <xdr:spPr>
        <a:xfrm>
          <a:off x="0" y="6146322"/>
          <a:ext cx="4698042" cy="3342736"/>
        </a:xfrm>
        <a:prstGeom prst="rect">
          <a:avLst/>
        </a:prstGeom>
        <a:solidFill>
          <a:srgbClr val="FF0000">
            <a:alpha val="3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4</xdr:col>
      <xdr:colOff>173566</xdr:colOff>
      <xdr:row>17</xdr:row>
      <xdr:rowOff>23282</xdr:rowOff>
    </xdr:from>
    <xdr:ext cx="1540934" cy="199222"/>
    <mc:AlternateContent xmlns:mc="http://schemas.openxmlformats.org/markup-compatibility/2006" xmlns:a14="http://schemas.microsoft.com/office/drawing/2010/main">
      <mc:Choice Requires="a14">
        <xdr:sp macro="" textlink="">
          <xdr:nvSpPr>
            <xdr:cNvPr id="16" name="TextBox 15">
              <a:extLst>
                <a:ext uri="{FF2B5EF4-FFF2-40B4-BE49-F238E27FC236}">
                  <a16:creationId xmlns:a16="http://schemas.microsoft.com/office/drawing/2014/main" id="{00000000-0008-0000-0100-000010000000}"/>
                </a:ext>
              </a:extLst>
            </xdr:cNvPr>
            <xdr:cNvSpPr txBox="1"/>
          </xdr:nvSpPr>
          <xdr:spPr>
            <a:xfrm>
              <a:off x="4936066" y="6030382"/>
              <a:ext cx="1540934" cy="19922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𝑄</m:t>
                        </m:r>
                      </m:e>
                      <m:sub>
                        <m:r>
                          <a:rPr lang="en-US" sz="1200" b="0" i="1">
                            <a:latin typeface="Cambria Math" panose="02040503050406030204" pitchFamily="18" charset="0"/>
                          </a:rPr>
                          <m:t>𝑝</m:t>
                        </m:r>
                        <m:r>
                          <a:rPr lang="en-US" sz="1200" b="0" i="1">
                            <a:latin typeface="Cambria Math" panose="02040503050406030204" pitchFamily="18" charset="0"/>
                          </a:rPr>
                          <m:t>′</m:t>
                        </m:r>
                      </m:sub>
                    </m:sSub>
                    <m:r>
                      <a:rPr lang="en-US" sz="1200" b="0" i="1">
                        <a:latin typeface="Cambria Math" panose="02040503050406030204" pitchFamily="18" charset="0"/>
                      </a:rPr>
                      <m:t>=</m:t>
                    </m:r>
                    <m:r>
                      <a:rPr lang="en-US" sz="1200" b="0" i="1">
                        <a:latin typeface="Cambria Math" panose="02040503050406030204" pitchFamily="18" charset="0"/>
                      </a:rPr>
                      <m:t>𝑄h</m:t>
                    </m:r>
                    <m:r>
                      <a:rPr lang="en-US" sz="1200" b="0" i="1">
                        <a:latin typeface="Cambria Math" panose="02040503050406030204" pitchFamily="18" charset="0"/>
                      </a:rPr>
                      <m:t>+</m:t>
                    </m:r>
                    <m:r>
                      <a:rPr lang="en-US" sz="1200" b="0" i="1">
                        <a:latin typeface="Cambria Math" panose="02040503050406030204" pitchFamily="18" charset="0"/>
                      </a:rPr>
                      <m:t>𝑄𝑣</m:t>
                    </m:r>
                  </m:oMath>
                </m:oMathPara>
              </a14:m>
              <a:endParaRPr lang="en-US" sz="1200"/>
            </a:p>
          </xdr:txBody>
        </xdr:sp>
      </mc:Choice>
      <mc:Fallback xmlns="">
        <xdr:sp macro="" textlink="">
          <xdr:nvSpPr>
            <xdr:cNvPr id="16" name="TextBox 15">
              <a:extLst>
                <a:ext uri="{FF2B5EF4-FFF2-40B4-BE49-F238E27FC236}">
                  <a16:creationId xmlns:a16="http://schemas.microsoft.com/office/drawing/2014/main" id="{00000000-0008-0000-0100-000010000000}"/>
                </a:ext>
              </a:extLst>
            </xdr:cNvPr>
            <xdr:cNvSpPr txBox="1"/>
          </xdr:nvSpPr>
          <xdr:spPr>
            <a:xfrm>
              <a:off x="4936066" y="6030382"/>
              <a:ext cx="1540934" cy="19922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𝑄_𝑝′=𝑄ℎ+𝑄𝑣</a:t>
              </a:r>
              <a:endParaRPr lang="en-US" sz="1200"/>
            </a:p>
          </xdr:txBody>
        </xdr:sp>
      </mc:Fallback>
    </mc:AlternateContent>
    <xdr:clientData/>
  </xdr:oneCellAnchor>
  <xdr:oneCellAnchor>
    <xdr:from>
      <xdr:col>4</xdr:col>
      <xdr:colOff>112307</xdr:colOff>
      <xdr:row>24</xdr:row>
      <xdr:rowOff>105459</xdr:rowOff>
    </xdr:from>
    <xdr:ext cx="933012" cy="187872"/>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5268507" y="9020859"/>
              <a:ext cx="933012" cy="18787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𝑇</m:t>
                    </m:r>
                    <m:r>
                      <a:rPr lang="en-US" sz="1200" b="0" i="1">
                        <a:latin typeface="Cambria Math" panose="02040503050406030204" pitchFamily="18" charset="0"/>
                      </a:rPr>
                      <m:t>=</m:t>
                    </m:r>
                    <m:r>
                      <a:rPr lang="en-US" sz="1200" b="0" i="1">
                        <a:latin typeface="Cambria Math" panose="02040503050406030204" pitchFamily="18" charset="0"/>
                      </a:rPr>
                      <m:t>𝐾𝑎𝑣𝑔</m:t>
                    </m:r>
                    <m:r>
                      <a:rPr lang="en-US" sz="1200" b="0" i="1">
                        <a:latin typeface="Cambria Math" panose="02040503050406030204" pitchFamily="18" charset="0"/>
                      </a:rPr>
                      <m:t>∗</m:t>
                    </m:r>
                    <m:r>
                      <a:rPr lang="en-US" sz="1200" b="0" i="1">
                        <a:latin typeface="Cambria Math" panose="02040503050406030204" pitchFamily="18" charset="0"/>
                      </a:rPr>
                      <m:t>𝑏</m:t>
                    </m:r>
                  </m:oMath>
                </m:oMathPara>
              </a14:m>
              <a:endParaRPr lang="en-US" sz="1200"/>
            </a:p>
          </xdr:txBody>
        </xdr:sp>
      </mc:Choice>
      <mc:Fallback xmlns="">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5268507" y="9020859"/>
              <a:ext cx="933012" cy="18787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0" i="0">
                  <a:latin typeface="Cambria Math" panose="02040503050406030204" pitchFamily="18" charset="0"/>
                </a:rPr>
                <a:t>𝑇=𝐾𝑎𝑣𝑔∗𝑏</a:t>
              </a:r>
              <a:endParaRPr lang="en-US" sz="1200"/>
            </a:p>
          </xdr:txBody>
        </xdr:sp>
      </mc:Fallback>
    </mc:AlternateContent>
    <xdr:clientData/>
  </xdr:oneCellAnchor>
  <xdr:twoCellAnchor>
    <xdr:from>
      <xdr:col>8</xdr:col>
      <xdr:colOff>233632</xdr:colOff>
      <xdr:row>1</xdr:row>
      <xdr:rowOff>1257</xdr:rowOff>
    </xdr:from>
    <xdr:to>
      <xdr:col>15</xdr:col>
      <xdr:colOff>35943</xdr:colOff>
      <xdr:row>22</xdr:row>
      <xdr:rowOff>287546</xdr:rowOff>
    </xdr:to>
    <xdr:sp macro="" textlink="">
      <xdr:nvSpPr>
        <xdr:cNvPr id="17" name="Rectangle 16">
          <a:extLst>
            <a:ext uri="{FF2B5EF4-FFF2-40B4-BE49-F238E27FC236}">
              <a16:creationId xmlns:a16="http://schemas.microsoft.com/office/drawing/2014/main" id="{00000000-0008-0000-0100-000011000000}"/>
            </a:ext>
          </a:extLst>
        </xdr:cNvPr>
        <xdr:cNvSpPr/>
      </xdr:nvSpPr>
      <xdr:spPr>
        <a:xfrm>
          <a:off x="11214340" y="522436"/>
          <a:ext cx="6739386" cy="7654685"/>
        </a:xfrm>
        <a:prstGeom prst="rect">
          <a:avLst/>
        </a:prstGeom>
        <a:solidFill>
          <a:srgbClr val="FF0000">
            <a:alpha val="3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5</xdr:row>
      <xdr:rowOff>0</xdr:rowOff>
    </xdr:from>
    <xdr:to>
      <xdr:col>10</xdr:col>
      <xdr:colOff>0</xdr:colOff>
      <xdr:row>111</xdr:row>
      <xdr:rowOff>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5</xdr:col>
          <xdr:colOff>0</xdr:colOff>
          <xdr:row>0</xdr:row>
          <xdr:rowOff>190500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Populate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3</xdr:row>
          <xdr:rowOff>0</xdr:rowOff>
        </xdr:from>
        <xdr:to>
          <xdr:col>10</xdr:col>
          <xdr:colOff>0</xdr:colOff>
          <xdr:row>5</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DONE! </a:t>
              </a:r>
              <a:r>
                <a:rPr lang="en-US" sz="1100" b="0" i="0" u="none" strike="noStrike" baseline="0">
                  <a:solidFill>
                    <a:srgbClr val="000000"/>
                  </a:solidFill>
                  <a:latin typeface="Calibri"/>
                  <a:cs typeface="Calibri"/>
                </a:rPr>
                <a:t> Continue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22860</xdr:rowOff>
        </xdr:from>
        <xdr:to>
          <xdr:col>5</xdr:col>
          <xdr:colOff>0</xdr:colOff>
          <xdr:row>2</xdr:row>
          <xdr:rowOff>190500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Resolve Error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0</xdr:colOff>
      <xdr:row>1</xdr:row>
      <xdr:rowOff>0</xdr:rowOff>
    </xdr:from>
    <xdr:to>
      <xdr:col>16</xdr:col>
      <xdr:colOff>0</xdr:colOff>
      <xdr:row>36</xdr:row>
      <xdr:rowOff>0</xdr:rowOff>
    </xdr:to>
    <xdr:graphicFrame macro="">
      <xdr:nvGraphicFramePr>
        <xdr:cNvPr id="2" name="Chart 1">
          <a:extLst>
            <a:ext uri="{FF2B5EF4-FFF2-40B4-BE49-F238E27FC236}">
              <a16:creationId xmlns:a16="http://schemas.microsoft.com/office/drawing/2014/main" id="{0289D805-1146-462B-8041-C39A424345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1</xdr:row>
      <xdr:rowOff>0</xdr:rowOff>
    </xdr:from>
    <xdr:to>
      <xdr:col>21</xdr:col>
      <xdr:colOff>0</xdr:colOff>
      <xdr:row>36</xdr:row>
      <xdr:rowOff>0</xdr:rowOff>
    </xdr:to>
    <xdr:graphicFrame macro="">
      <xdr:nvGraphicFramePr>
        <xdr:cNvPr id="3" name="Chart 2">
          <a:extLst>
            <a:ext uri="{FF2B5EF4-FFF2-40B4-BE49-F238E27FC236}">
              <a16:creationId xmlns:a16="http://schemas.microsoft.com/office/drawing/2014/main" id="{ADB039A3-9B53-4C66-AFC0-572636783F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1</xdr:row>
      <xdr:rowOff>0</xdr:rowOff>
    </xdr:from>
    <xdr:to>
      <xdr:col>26</xdr:col>
      <xdr:colOff>0</xdr:colOff>
      <xdr:row>36</xdr:row>
      <xdr:rowOff>0</xdr:rowOff>
    </xdr:to>
    <xdr:graphicFrame macro="">
      <xdr:nvGraphicFramePr>
        <xdr:cNvPr id="4" name="Chart 3">
          <a:extLst>
            <a:ext uri="{FF2B5EF4-FFF2-40B4-BE49-F238E27FC236}">
              <a16:creationId xmlns:a16="http://schemas.microsoft.com/office/drawing/2014/main" id="{7BA4A816-C187-47BD-942E-F3EBCFE734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0</xdr:colOff>
      <xdr:row>20</xdr:row>
      <xdr:rowOff>0</xdr:rowOff>
    </xdr:from>
    <xdr:to>
      <xdr:col>30</xdr:col>
      <xdr:colOff>0</xdr:colOff>
      <xdr:row>36</xdr:row>
      <xdr:rowOff>0</xdr:rowOff>
    </xdr:to>
    <xdr:graphicFrame macro="">
      <xdr:nvGraphicFramePr>
        <xdr:cNvPr id="10" name="Chart 9">
          <a:extLst>
            <a:ext uri="{FF2B5EF4-FFF2-40B4-BE49-F238E27FC236}">
              <a16:creationId xmlns:a16="http://schemas.microsoft.com/office/drawing/2014/main" id="{6B2C2F76-A1DA-4011-934A-75FD3E543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0</xdr:colOff>
      <xdr:row>1</xdr:row>
      <xdr:rowOff>0</xdr:rowOff>
    </xdr:from>
    <xdr:to>
      <xdr:col>35</xdr:col>
      <xdr:colOff>0</xdr:colOff>
      <xdr:row>20</xdr:row>
      <xdr:rowOff>0</xdr:rowOff>
    </xdr:to>
    <xdr:graphicFrame macro="">
      <xdr:nvGraphicFramePr>
        <xdr:cNvPr id="5" name="Chart 4">
          <a:extLst>
            <a:ext uri="{FF2B5EF4-FFF2-40B4-BE49-F238E27FC236}">
              <a16:creationId xmlns:a16="http://schemas.microsoft.com/office/drawing/2014/main" id="{17D9BA26-99D7-470E-BB76-883C3E6E03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20"/>
  <sheetViews>
    <sheetView showGridLines="0" zoomScale="70" zoomScaleNormal="70" workbookViewId="0">
      <selection activeCell="N11" sqref="N11"/>
    </sheetView>
  </sheetViews>
  <sheetFormatPr defaultRowHeight="14.4" x14ac:dyDescent="0.3"/>
  <cols>
    <col min="1" max="1" width="29.109375" customWidth="1"/>
    <col min="2" max="3" width="14.44140625" customWidth="1"/>
    <col min="4" max="4" width="4.33203125" customWidth="1"/>
    <col min="5" max="5" width="76.109375" style="109" customWidth="1"/>
    <col min="6" max="6" width="13.88671875" style="109" bestFit="1" customWidth="1"/>
  </cols>
  <sheetData>
    <row r="1" spans="1:6" s="105" customFormat="1" ht="36" customHeight="1" thickBot="1" x14ac:dyDescent="0.4">
      <c r="A1" s="106" t="s">
        <v>47</v>
      </c>
      <c r="B1" s="107"/>
      <c r="C1" s="107"/>
      <c r="D1" s="107"/>
      <c r="E1" s="116" t="s">
        <v>82</v>
      </c>
      <c r="F1" s="117">
        <v>43433</v>
      </c>
    </row>
    <row r="2" spans="1:6" s="154" customFormat="1" ht="54.75" customHeight="1" x14ac:dyDescent="0.55000000000000004">
      <c r="A2" s="160" t="s">
        <v>116</v>
      </c>
      <c r="B2" s="160"/>
      <c r="C2" s="160"/>
      <c r="D2" s="160"/>
      <c r="E2" s="160"/>
      <c r="F2" s="153"/>
    </row>
    <row r="3" spans="1:6" s="104" customFormat="1" ht="32.25" customHeight="1" x14ac:dyDescent="0.3">
      <c r="A3" s="159" t="s">
        <v>83</v>
      </c>
      <c r="B3" s="159"/>
      <c r="C3" s="159"/>
      <c r="D3" s="159"/>
      <c r="E3" s="159"/>
      <c r="F3" s="108"/>
    </row>
    <row r="4" spans="1:6" s="104" customFormat="1" ht="32.25" customHeight="1" x14ac:dyDescent="0.3">
      <c r="A4" s="159" t="s">
        <v>118</v>
      </c>
      <c r="B4" s="159"/>
      <c r="C4" s="159"/>
      <c r="D4" s="159"/>
      <c r="E4" s="159"/>
      <c r="F4" s="108"/>
    </row>
    <row r="5" spans="1:6" s="104" customFormat="1" ht="32.25" customHeight="1" x14ac:dyDescent="0.3">
      <c r="A5" s="159" t="s">
        <v>125</v>
      </c>
      <c r="B5" s="159"/>
      <c r="C5" s="159"/>
      <c r="D5" s="159"/>
      <c r="E5" s="159"/>
      <c r="F5" s="108"/>
    </row>
    <row r="6" spans="1:6" s="104" customFormat="1" ht="32.25" customHeight="1" x14ac:dyDescent="0.3">
      <c r="A6" s="159" t="s">
        <v>117</v>
      </c>
      <c r="B6" s="159"/>
      <c r="C6" s="159"/>
      <c r="D6" s="159"/>
      <c r="E6" s="159"/>
      <c r="F6" s="108"/>
    </row>
    <row r="7" spans="1:6" s="104" customFormat="1" ht="27.6" customHeight="1" x14ac:dyDescent="0.3">
      <c r="F7" s="108"/>
    </row>
    <row r="11" spans="1:6" ht="46.5" customHeight="1" x14ac:dyDescent="0.55000000000000004">
      <c r="A11" s="161" t="s">
        <v>122</v>
      </c>
      <c r="B11" s="161"/>
      <c r="C11" s="161"/>
      <c r="D11" s="161"/>
      <c r="E11" s="161"/>
    </row>
    <row r="12" spans="1:6" ht="32.25" customHeight="1" x14ac:dyDescent="0.3">
      <c r="A12" s="159" t="s">
        <v>83</v>
      </c>
      <c r="B12" s="159"/>
      <c r="C12" s="159"/>
      <c r="D12" s="159"/>
      <c r="E12" s="159"/>
    </row>
    <row r="13" spans="1:6" ht="32.25" customHeight="1" x14ac:dyDescent="0.3">
      <c r="A13" s="159" t="s">
        <v>118</v>
      </c>
      <c r="B13" s="159"/>
      <c r="C13" s="159"/>
      <c r="D13" s="159"/>
      <c r="E13" s="159"/>
    </row>
    <row r="14" spans="1:6" ht="32.25" customHeight="1" x14ac:dyDescent="0.3">
      <c r="A14" s="159" t="s">
        <v>119</v>
      </c>
      <c r="B14" s="159"/>
      <c r="C14" s="159"/>
      <c r="D14" s="159"/>
      <c r="E14" s="159"/>
    </row>
    <row r="15" spans="1:6" ht="32.25" customHeight="1" x14ac:dyDescent="0.3">
      <c r="A15" s="159" t="s">
        <v>120</v>
      </c>
      <c r="B15" s="159"/>
      <c r="C15" s="159"/>
      <c r="D15" s="159"/>
      <c r="E15" s="159"/>
    </row>
    <row r="16" spans="1:6" ht="32.25" customHeight="1" x14ac:dyDescent="0.3">
      <c r="A16" s="159" t="s">
        <v>124</v>
      </c>
      <c r="B16" s="159"/>
      <c r="C16" s="159"/>
      <c r="D16" s="159"/>
      <c r="E16" s="159"/>
    </row>
    <row r="17" spans="1:5" ht="32.25" customHeight="1" x14ac:dyDescent="0.3">
      <c r="A17" s="159" t="s">
        <v>123</v>
      </c>
      <c r="B17" s="159"/>
      <c r="C17" s="159"/>
      <c r="D17" s="159"/>
      <c r="E17" s="159"/>
    </row>
    <row r="18" spans="1:5" ht="32.25" customHeight="1" x14ac:dyDescent="0.3">
      <c r="A18" s="159" t="s">
        <v>126</v>
      </c>
      <c r="B18" s="159"/>
      <c r="C18" s="159"/>
      <c r="D18" s="159"/>
      <c r="E18" s="159"/>
    </row>
    <row r="20" spans="1:5" x14ac:dyDescent="0.3">
      <c r="A20" s="104"/>
      <c r="B20" s="104"/>
      <c r="C20" s="104"/>
      <c r="D20" s="104"/>
      <c r="E20" s="108"/>
    </row>
  </sheetData>
  <mergeCells count="13">
    <mergeCell ref="A12:E12"/>
    <mergeCell ref="A13:E13"/>
    <mergeCell ref="A18:E18"/>
    <mergeCell ref="A14:E14"/>
    <mergeCell ref="A2:E2"/>
    <mergeCell ref="A11:E11"/>
    <mergeCell ref="A15:E15"/>
    <mergeCell ref="A16:E16"/>
    <mergeCell ref="A17:E17"/>
    <mergeCell ref="A3:E3"/>
    <mergeCell ref="A4:E4"/>
    <mergeCell ref="A5:E5"/>
    <mergeCell ref="A6:E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65FFAB"/>
  </sheetPr>
  <dimension ref="A1:Q47"/>
  <sheetViews>
    <sheetView topLeftCell="A26" zoomScale="53" zoomScaleNormal="53" workbookViewId="0">
      <selection activeCell="B15" sqref="B15:C16"/>
    </sheetView>
  </sheetViews>
  <sheetFormatPr defaultColWidth="9.33203125" defaultRowHeight="15.6" x14ac:dyDescent="0.3"/>
  <cols>
    <col min="1" max="1" width="50.5546875" style="1" customWidth="1"/>
    <col min="2" max="2" width="10.6640625" style="1" customWidth="1"/>
    <col min="3" max="3" width="8.6640625" style="1" customWidth="1"/>
    <col min="4" max="4" width="5.109375" style="1" customWidth="1"/>
    <col min="5" max="8" width="22.33203125" style="1" customWidth="1"/>
    <col min="9" max="9" width="3.88671875" style="1" customWidth="1"/>
    <col min="10" max="10" width="38.33203125" style="1" customWidth="1"/>
    <col min="11" max="12" width="8.6640625" style="1" customWidth="1"/>
    <col min="13" max="13" width="27.5546875" style="1" customWidth="1"/>
    <col min="14" max="15" width="8.6640625" style="1" customWidth="1"/>
    <col min="16" max="16" width="9.33203125" style="1" customWidth="1"/>
    <col min="17" max="16384" width="9.33203125" style="1"/>
  </cols>
  <sheetData>
    <row r="1" spans="1:17" ht="41.25" customHeight="1" thickBot="1" x14ac:dyDescent="0.75">
      <c r="A1" s="53" t="s">
        <v>47</v>
      </c>
      <c r="C1" s="3"/>
      <c r="E1" s="103" t="s">
        <v>82</v>
      </c>
      <c r="F1" s="52">
        <v>43433</v>
      </c>
    </row>
    <row r="2" spans="1:17" ht="60" customHeight="1" thickBot="1" x14ac:dyDescent="0.35">
      <c r="A2" s="187" t="s">
        <v>46</v>
      </c>
      <c r="B2" s="188"/>
      <c r="C2" s="83"/>
      <c r="D2" s="51"/>
      <c r="E2" s="189" t="s">
        <v>45</v>
      </c>
      <c r="F2" s="171"/>
      <c r="G2" s="171"/>
      <c r="H2" s="190"/>
      <c r="J2" s="191" t="s">
        <v>44</v>
      </c>
      <c r="K2" s="192"/>
      <c r="L2" s="192"/>
      <c r="M2" s="192"/>
      <c r="N2" s="192"/>
      <c r="O2" s="193"/>
    </row>
    <row r="3" spans="1:17" ht="20.100000000000001" customHeight="1" thickBot="1" x14ac:dyDescent="0.35">
      <c r="A3" s="50" t="s">
        <v>85</v>
      </c>
      <c r="B3" s="89" t="s">
        <v>5</v>
      </c>
      <c r="C3" s="37"/>
      <c r="E3" s="189"/>
      <c r="F3" s="171"/>
      <c r="G3" s="171"/>
      <c r="H3" s="190"/>
      <c r="J3" s="165" t="s">
        <v>43</v>
      </c>
      <c r="K3" s="166"/>
      <c r="L3" s="167"/>
      <c r="M3" s="168" t="s">
        <v>42</v>
      </c>
      <c r="N3" s="166"/>
      <c r="O3" s="169"/>
    </row>
    <row r="4" spans="1:17" ht="20.100000000000001" customHeight="1" thickBot="1" x14ac:dyDescent="0.35">
      <c r="A4" s="14" t="s">
        <v>41</v>
      </c>
      <c r="B4" s="49" t="s">
        <v>40</v>
      </c>
      <c r="C4" s="90"/>
      <c r="D4" s="3"/>
      <c r="E4" s="12"/>
      <c r="F4" s="10"/>
      <c r="G4" s="204" t="s">
        <v>92</v>
      </c>
      <c r="H4" s="205"/>
      <c r="J4" s="14" t="s">
        <v>39</v>
      </c>
      <c r="K4" s="140">
        <f>IF((B7-B6)&lt;=0,0,(B7-B6))</f>
        <v>21</v>
      </c>
      <c r="L4" s="91" t="s">
        <v>2</v>
      </c>
      <c r="M4" s="48" t="s">
        <v>39</v>
      </c>
      <c r="N4" s="140">
        <f>IF((B7-(B6+B12))&lt;=0,0,(B7-(B6+B12)))</f>
        <v>11</v>
      </c>
      <c r="O4" s="74" t="s">
        <v>2</v>
      </c>
    </row>
    <row r="5" spans="1:17" ht="25.2" customHeight="1" thickBot="1" x14ac:dyDescent="0.35">
      <c r="A5" s="14" t="s">
        <v>38</v>
      </c>
      <c r="B5" s="114"/>
      <c r="C5" s="115" t="s">
        <v>4</v>
      </c>
      <c r="D5" s="22"/>
      <c r="E5" s="12"/>
      <c r="F5" s="10"/>
      <c r="G5" s="206"/>
      <c r="H5" s="207"/>
      <c r="J5" s="14" t="s">
        <v>37</v>
      </c>
      <c r="K5" s="140">
        <f>IF(K4=0,B6-B7,0)</f>
        <v>0</v>
      </c>
      <c r="L5" s="91" t="s">
        <v>2</v>
      </c>
      <c r="M5" s="48" t="s">
        <v>37</v>
      </c>
      <c r="N5" s="140">
        <f>IF(N4=0,(B6+B12)-B7,0)</f>
        <v>0</v>
      </c>
      <c r="O5" s="74" t="s">
        <v>2</v>
      </c>
    </row>
    <row r="6" spans="1:17" ht="20.100000000000001" customHeight="1" x14ac:dyDescent="0.3">
      <c r="A6" s="14" t="s">
        <v>36</v>
      </c>
      <c r="B6" s="40">
        <v>9</v>
      </c>
      <c r="C6" s="13" t="s">
        <v>2</v>
      </c>
      <c r="D6" s="5"/>
      <c r="E6" s="12"/>
      <c r="F6" s="10"/>
      <c r="G6" s="10"/>
      <c r="H6" s="9"/>
      <c r="J6" s="47" t="s">
        <v>35</v>
      </c>
      <c r="K6" s="141">
        <f>B8-K5</f>
        <v>10</v>
      </c>
      <c r="L6" s="92" t="s">
        <v>2</v>
      </c>
      <c r="M6" s="46" t="s">
        <v>35</v>
      </c>
      <c r="N6" s="141">
        <f>B8-N5</f>
        <v>10</v>
      </c>
      <c r="O6" s="93" t="s">
        <v>2</v>
      </c>
    </row>
    <row r="7" spans="1:17" ht="20.100000000000001" customHeight="1" x14ac:dyDescent="0.3">
      <c r="A7" s="14" t="s">
        <v>34</v>
      </c>
      <c r="B7" s="40">
        <v>30</v>
      </c>
      <c r="C7" s="13" t="s">
        <v>2</v>
      </c>
      <c r="D7" s="5"/>
      <c r="E7" s="12"/>
      <c r="F7" s="10"/>
      <c r="G7" s="10"/>
      <c r="H7" s="9"/>
      <c r="I7" s="18"/>
      <c r="J7" s="5" t="s">
        <v>106</v>
      </c>
      <c r="K7" s="142">
        <f>P_rate-(K15+K13)</f>
        <v>7.7719059604613857E-3</v>
      </c>
      <c r="L7" s="37" t="s">
        <v>15</v>
      </c>
      <c r="M7" s="35"/>
      <c r="N7" s="151"/>
      <c r="O7" s="94"/>
    </row>
    <row r="8" spans="1:17" ht="20.100000000000001" customHeight="1" x14ac:dyDescent="0.3">
      <c r="A8" s="14" t="s">
        <v>33</v>
      </c>
      <c r="B8" s="40">
        <v>10</v>
      </c>
      <c r="C8" s="13" t="s">
        <v>2</v>
      </c>
      <c r="D8" s="5"/>
      <c r="E8" s="12"/>
      <c r="F8" s="43"/>
      <c r="G8" s="10"/>
      <c r="H8" s="9"/>
      <c r="I8" s="18"/>
      <c r="J8" s="45"/>
      <c r="K8" s="143"/>
      <c r="L8" s="35"/>
      <c r="M8" s="37"/>
      <c r="N8" s="152"/>
      <c r="O8" s="39"/>
      <c r="P8" s="44"/>
      <c r="Q8" s="44"/>
    </row>
    <row r="9" spans="1:17" ht="20.100000000000001" customHeight="1" x14ac:dyDescent="0.3">
      <c r="A9" s="14" t="s">
        <v>32</v>
      </c>
      <c r="B9" s="42">
        <v>1.5</v>
      </c>
      <c r="C9" s="13" t="s">
        <v>31</v>
      </c>
      <c r="D9" s="5"/>
      <c r="E9" s="12"/>
      <c r="F9" s="43"/>
      <c r="G9" s="10"/>
      <c r="H9" s="9"/>
      <c r="I9" s="18"/>
      <c r="J9" s="5" t="s">
        <v>30</v>
      </c>
      <c r="K9" s="142">
        <f>PI()*(W_rad^2)</f>
        <v>1.2271846303085129E-2</v>
      </c>
      <c r="L9" s="37" t="s">
        <v>29</v>
      </c>
      <c r="M9" s="35" t="s">
        <v>80</v>
      </c>
      <c r="N9" s="151">
        <f>2*PI()*W_rad*(2*B30)</f>
        <v>0.39269908169872414</v>
      </c>
      <c r="O9" s="74" t="s">
        <v>29</v>
      </c>
      <c r="P9" s="4"/>
      <c r="Q9" s="4"/>
    </row>
    <row r="10" spans="1:17" ht="20.100000000000001" customHeight="1" x14ac:dyDescent="0.3">
      <c r="A10" s="14" t="s">
        <v>28</v>
      </c>
      <c r="B10" s="42">
        <v>60</v>
      </c>
      <c r="C10" s="13" t="s">
        <v>0</v>
      </c>
      <c r="D10" s="5"/>
      <c r="E10" s="12"/>
      <c r="F10" s="10"/>
      <c r="G10" s="10"/>
      <c r="H10" s="9"/>
      <c r="I10" s="18"/>
      <c r="J10" s="5" t="s">
        <v>27</v>
      </c>
      <c r="K10" s="142">
        <f>((B9/2)/12)</f>
        <v>6.25E-2</v>
      </c>
      <c r="L10" s="37" t="s">
        <v>2</v>
      </c>
      <c r="M10" s="35"/>
      <c r="N10" s="35"/>
      <c r="O10" s="74"/>
      <c r="P10" s="4"/>
      <c r="Q10" s="4"/>
    </row>
    <row r="11" spans="1:17" ht="20.100000000000001" customHeight="1" x14ac:dyDescent="0.3">
      <c r="A11" s="14" t="s">
        <v>115</v>
      </c>
      <c r="B11" s="41">
        <v>0.3</v>
      </c>
      <c r="C11" s="13" t="s">
        <v>26</v>
      </c>
      <c r="D11" s="5"/>
      <c r="E11" s="121"/>
      <c r="F11" s="122"/>
      <c r="G11" s="10"/>
      <c r="H11" s="9"/>
      <c r="I11" s="18"/>
      <c r="J11" s="35"/>
      <c r="K11" s="143"/>
      <c r="L11" s="35"/>
      <c r="M11" s="35"/>
      <c r="N11" s="35"/>
      <c r="O11" s="74"/>
      <c r="Q11" s="4"/>
    </row>
    <row r="12" spans="1:17" ht="49.2" customHeight="1" thickBot="1" x14ac:dyDescent="0.35">
      <c r="A12" s="14" t="s">
        <v>25</v>
      </c>
      <c r="B12" s="40">
        <v>10</v>
      </c>
      <c r="C12" s="13" t="s">
        <v>2</v>
      </c>
      <c r="D12" s="5"/>
      <c r="E12" s="184" t="s">
        <v>98</v>
      </c>
      <c r="F12" s="186"/>
      <c r="G12" s="120"/>
      <c r="H12" s="9"/>
      <c r="I12" s="18"/>
      <c r="J12" s="28" t="s">
        <v>97</v>
      </c>
      <c r="K12" s="144">
        <f>(B11/(3.78541))/(7.48052)</f>
        <v>1.0594404273686412E-2</v>
      </c>
      <c r="L12" s="95" t="s">
        <v>15</v>
      </c>
      <c r="M12" s="173" t="s">
        <v>24</v>
      </c>
      <c r="N12" s="36"/>
      <c r="O12" s="39"/>
      <c r="Q12" s="4"/>
    </row>
    <row r="13" spans="1:17" ht="65.400000000000006" customHeight="1" thickBot="1" x14ac:dyDescent="0.35">
      <c r="A13" s="156" t="s">
        <v>23</v>
      </c>
      <c r="B13" s="157">
        <v>1</v>
      </c>
      <c r="C13" s="158" t="s">
        <v>128</v>
      </c>
      <c r="D13" s="14"/>
      <c r="E13" s="184" t="s">
        <v>89</v>
      </c>
      <c r="F13" s="186"/>
      <c r="G13" s="194"/>
      <c r="H13" s="195"/>
      <c r="I13" s="18"/>
      <c r="J13" s="5" t="s">
        <v>94</v>
      </c>
      <c r="K13" s="142">
        <f>(W_area*B12)/B10</f>
        <v>2.0453077171808547E-3</v>
      </c>
      <c r="L13" s="37" t="s">
        <v>15</v>
      </c>
      <c r="M13" s="174"/>
      <c r="N13" s="36"/>
      <c r="O13" s="39"/>
      <c r="P13" s="4"/>
      <c r="Q13" s="4"/>
    </row>
    <row r="14" spans="1:17" s="35" customFormat="1" ht="40.5" customHeight="1" thickBot="1" x14ac:dyDescent="0.35">
      <c r="A14" s="155" t="s">
        <v>127</v>
      </c>
      <c r="B14" s="119">
        <v>0.10044274474559245</v>
      </c>
      <c r="C14" s="102" t="s">
        <v>7</v>
      </c>
      <c r="D14" s="123"/>
      <c r="E14" s="177" t="s">
        <v>99</v>
      </c>
      <c r="F14" s="178"/>
      <c r="G14" s="196"/>
      <c r="H14" s="197"/>
      <c r="I14" s="38"/>
      <c r="J14" s="5" t="s">
        <v>96</v>
      </c>
      <c r="K14" s="145">
        <f>IF(B29&gt;0,(2*(B14/1440)*PI()*(IF(B12=0,0.01,B12))*(N6-(2*B30)))/(LN(10/W_rad)),(2*(B14/1440)*PI()*(IF(B12=0,0.01,B12))*(N6)/(LN(10/W_rad))))</f>
        <v>7.7719059604417174E-3</v>
      </c>
      <c r="L14" s="37" t="s">
        <v>15</v>
      </c>
      <c r="M14" s="174"/>
      <c r="O14" s="39"/>
      <c r="P14" s="36"/>
      <c r="Q14" s="96">
        <f>SUM(K13:K15)</f>
        <v>1.0594404273666744E-2</v>
      </c>
    </row>
    <row r="15" spans="1:17" ht="24" customHeight="1" x14ac:dyDescent="0.3">
      <c r="A15" s="198" t="s">
        <v>121</v>
      </c>
      <c r="B15" s="200" t="str">
        <f>IF(P_rate&gt;=K15,"YES","NO")</f>
        <v>YES</v>
      </c>
      <c r="C15" s="201"/>
      <c r="D15" s="123"/>
      <c r="E15" s="208" t="s">
        <v>104</v>
      </c>
      <c r="F15" s="209"/>
      <c r="G15" s="212" t="s">
        <v>114</v>
      </c>
      <c r="H15" s="213"/>
      <c r="I15" s="129"/>
      <c r="J15" s="34" t="s">
        <v>95</v>
      </c>
      <c r="K15" s="146">
        <f>IF(B29&gt;0,(K14*((2*$B$30)/N6)),0)</f>
        <v>7.7719059604417179E-4</v>
      </c>
      <c r="L15" s="33" t="s">
        <v>15</v>
      </c>
      <c r="M15" s="176"/>
      <c r="N15" s="36"/>
      <c r="O15" s="39"/>
      <c r="P15" s="4"/>
      <c r="Q15" s="4"/>
    </row>
    <row r="16" spans="1:17" ht="24" customHeight="1" thickBot="1" x14ac:dyDescent="0.35">
      <c r="A16" s="199"/>
      <c r="B16" s="202"/>
      <c r="C16" s="203"/>
      <c r="D16" s="123"/>
      <c r="E16" s="210"/>
      <c r="F16" s="211"/>
      <c r="G16" s="214"/>
      <c r="H16" s="215"/>
      <c r="I16" s="129"/>
      <c r="J16" s="31"/>
      <c r="K16" s="147"/>
      <c r="L16" s="36"/>
      <c r="M16" s="8"/>
      <c r="N16" s="36"/>
      <c r="O16" s="39"/>
      <c r="P16" s="4"/>
      <c r="Q16" s="4"/>
    </row>
    <row r="17" spans="1:17" ht="20.100000000000001" customHeight="1" thickBot="1" x14ac:dyDescent="0.35">
      <c r="A17" s="110" t="s">
        <v>84</v>
      </c>
      <c r="B17" s="111" t="s">
        <v>21</v>
      </c>
      <c r="C17" s="82" t="s">
        <v>4</v>
      </c>
      <c r="D17" s="30"/>
      <c r="E17" s="29"/>
      <c r="F17" s="131"/>
      <c r="G17" s="214"/>
      <c r="H17" s="215"/>
      <c r="I17" s="129"/>
      <c r="J17" s="28" t="s">
        <v>20</v>
      </c>
      <c r="K17" s="144">
        <f>P_rate/W_area</f>
        <v>0.86330972634680003</v>
      </c>
      <c r="L17" s="95" t="s">
        <v>11</v>
      </c>
      <c r="M17" s="173" t="s">
        <v>19</v>
      </c>
      <c r="N17" s="36"/>
      <c r="O17" s="39"/>
      <c r="P17" s="4"/>
      <c r="Q17" s="4"/>
    </row>
    <row r="18" spans="1:17" ht="20.100000000000001" customHeight="1" x14ac:dyDescent="0.3">
      <c r="A18" s="27" t="s">
        <v>18</v>
      </c>
      <c r="B18" s="118">
        <f>(K14+K15)</f>
        <v>8.5490965564858894E-3</v>
      </c>
      <c r="C18" s="13" t="s">
        <v>15</v>
      </c>
      <c r="D18" s="26"/>
      <c r="E18" s="121"/>
      <c r="F18" s="132"/>
      <c r="G18" s="216"/>
      <c r="H18" s="217"/>
      <c r="I18" s="129"/>
      <c r="J18" s="5" t="s">
        <v>17</v>
      </c>
      <c r="K18" s="142">
        <f>B12/B10</f>
        <v>0.16666666666666666</v>
      </c>
      <c r="L18" s="37" t="s">
        <v>11</v>
      </c>
      <c r="M18" s="174"/>
      <c r="N18" s="36"/>
      <c r="O18" s="39"/>
      <c r="P18" s="4"/>
      <c r="Q18" s="4"/>
    </row>
    <row r="19" spans="1:17" ht="31.2" customHeight="1" x14ac:dyDescent="0.3">
      <c r="A19" s="23" t="s">
        <v>16</v>
      </c>
      <c r="B19" s="25">
        <f>B18-(P_rate-K13)</f>
        <v>-1.9668294770625039E-14</v>
      </c>
      <c r="C19" s="13" t="s">
        <v>15</v>
      </c>
      <c r="D19" s="24"/>
      <c r="E19" s="179" t="s">
        <v>103</v>
      </c>
      <c r="F19" s="180"/>
      <c r="G19" s="180"/>
      <c r="H19" s="181"/>
      <c r="I19" s="129"/>
      <c r="J19" s="33" t="s">
        <v>79</v>
      </c>
      <c r="K19" s="148">
        <f>K15/N9</f>
        <v>1.979099601359462E-3</v>
      </c>
      <c r="L19" s="33" t="s">
        <v>11</v>
      </c>
      <c r="M19" s="176"/>
      <c r="N19" s="35"/>
      <c r="O19" s="74"/>
      <c r="P19" s="4"/>
      <c r="Q19" s="4"/>
    </row>
    <row r="20" spans="1:17" ht="20.100000000000001" customHeight="1" x14ac:dyDescent="0.3">
      <c r="A20" s="23" t="s">
        <v>14</v>
      </c>
      <c r="B20" s="17">
        <f>B12*W_area</f>
        <v>0.12271846303085129</v>
      </c>
      <c r="C20" s="13" t="s">
        <v>13</v>
      </c>
      <c r="D20" s="22"/>
      <c r="E20" s="130"/>
      <c r="F20" s="32"/>
      <c r="G20" s="21"/>
      <c r="H20" s="20"/>
      <c r="I20" s="18"/>
      <c r="J20" s="19"/>
      <c r="K20" s="149"/>
      <c r="L20" s="97"/>
      <c r="M20" s="97"/>
      <c r="N20" s="36"/>
      <c r="O20" s="39"/>
      <c r="P20" s="4"/>
      <c r="Q20" s="4"/>
    </row>
    <row r="21" spans="1:17" ht="34.200000000000003" customHeight="1" x14ac:dyDescent="0.3">
      <c r="A21" s="23" t="s">
        <v>90</v>
      </c>
      <c r="B21" s="25">
        <f>IF(B29&lt;0,K17,K22)</f>
        <v>0.86133062674544059</v>
      </c>
      <c r="C21" s="13" t="s">
        <v>11</v>
      </c>
      <c r="D21" s="5"/>
      <c r="E21" s="126"/>
      <c r="F21" s="122"/>
      <c r="G21" s="122"/>
      <c r="H21" s="9"/>
      <c r="I21" s="18"/>
      <c r="J21" s="14" t="s">
        <v>109</v>
      </c>
      <c r="K21" s="142">
        <f>K17-K18</f>
        <v>0.6966430596801334</v>
      </c>
      <c r="L21" s="98" t="s">
        <v>11</v>
      </c>
      <c r="M21" s="173" t="s">
        <v>12</v>
      </c>
      <c r="N21" s="36"/>
      <c r="O21" s="39"/>
      <c r="P21" s="4"/>
      <c r="Q21" s="4"/>
    </row>
    <row r="22" spans="1:17" ht="32.4" customHeight="1" x14ac:dyDescent="0.3">
      <c r="A22" s="23" t="s">
        <v>91</v>
      </c>
      <c r="B22" s="25">
        <f>IF(B29&lt;0,K21,K23)</f>
        <v>0.69466396007877396</v>
      </c>
      <c r="C22" s="13" t="s">
        <v>11</v>
      </c>
      <c r="D22" s="14"/>
      <c r="E22" s="179" t="s">
        <v>100</v>
      </c>
      <c r="F22" s="180"/>
      <c r="G22" s="181"/>
      <c r="H22" s="125"/>
      <c r="J22" s="16" t="s">
        <v>110</v>
      </c>
      <c r="K22" s="142">
        <f>K17-K19</f>
        <v>0.86133062674544059</v>
      </c>
      <c r="L22" s="91" t="s">
        <v>11</v>
      </c>
      <c r="M22" s="174"/>
      <c r="N22" s="35"/>
      <c r="O22" s="74"/>
      <c r="P22" s="4"/>
      <c r="Q22" s="4"/>
    </row>
    <row r="23" spans="1:17" ht="24" customHeight="1" thickBot="1" x14ac:dyDescent="0.35">
      <c r="A23" s="14" t="s">
        <v>81</v>
      </c>
      <c r="B23" s="124">
        <f>IF(B15="NO","N/a",(N6)*(2/B22))</f>
        <v>28.790899124422733</v>
      </c>
      <c r="C23" s="13" t="s">
        <v>0</v>
      </c>
      <c r="D23" s="14"/>
      <c r="E23" s="184" t="s">
        <v>101</v>
      </c>
      <c r="F23" s="185"/>
      <c r="G23" s="186"/>
      <c r="H23" s="125"/>
      <c r="I23" s="11"/>
      <c r="J23" s="15" t="s">
        <v>111</v>
      </c>
      <c r="K23" s="150">
        <f>K17-K18-K19</f>
        <v>0.69466396007877396</v>
      </c>
      <c r="L23" s="99" t="s">
        <v>11</v>
      </c>
      <c r="M23" s="175"/>
      <c r="N23" s="100"/>
      <c r="O23" s="101"/>
      <c r="P23" s="4"/>
      <c r="Q23" s="4"/>
    </row>
    <row r="24" spans="1:17" ht="34.200000000000003" customHeight="1" x14ac:dyDescent="0.3">
      <c r="A24" s="14" t="s">
        <v>93</v>
      </c>
      <c r="B24" s="124">
        <f>3*(W_area*(ABS((B6-(B7+B8)))))/K12</f>
        <v>107.72495335311557</v>
      </c>
      <c r="C24" s="13" t="s">
        <v>0</v>
      </c>
      <c r="D24" s="5"/>
      <c r="E24" s="184" t="s">
        <v>102</v>
      </c>
      <c r="F24" s="185"/>
      <c r="G24" s="186"/>
      <c r="H24" s="125"/>
      <c r="P24" s="3"/>
    </row>
    <row r="25" spans="1:17" ht="27" customHeight="1" x14ac:dyDescent="0.3">
      <c r="A25" s="83" t="s">
        <v>10</v>
      </c>
      <c r="B25" s="84">
        <f>B14*B8</f>
        <v>1.0044274474559245</v>
      </c>
      <c r="C25" s="85" t="s">
        <v>9</v>
      </c>
      <c r="D25" s="5"/>
      <c r="E25" s="127"/>
      <c r="F25" s="128"/>
      <c r="G25" s="32"/>
      <c r="H25" s="9"/>
      <c r="J25" s="4"/>
      <c r="K25" s="4"/>
      <c r="L25" s="4"/>
      <c r="M25" s="8"/>
      <c r="N25" s="4"/>
      <c r="O25" s="4"/>
      <c r="P25" s="4"/>
    </row>
    <row r="26" spans="1:17" ht="20.100000000000001" customHeight="1" thickBot="1" x14ac:dyDescent="0.35">
      <c r="A26" s="86" t="s">
        <v>8</v>
      </c>
      <c r="B26" s="87">
        <f>B25/N6</f>
        <v>0.10044274474559245</v>
      </c>
      <c r="C26" s="88" t="s">
        <v>7</v>
      </c>
      <c r="D26" s="5"/>
      <c r="E26" s="182" t="s">
        <v>105</v>
      </c>
      <c r="F26" s="183"/>
      <c r="G26" s="7"/>
      <c r="H26" s="6"/>
      <c r="J26" s="4"/>
      <c r="K26" s="4"/>
      <c r="L26" s="4"/>
      <c r="M26" s="4"/>
      <c r="N26" s="4"/>
      <c r="O26" s="4"/>
      <c r="P26" s="4"/>
    </row>
    <row r="27" spans="1:17" ht="20.100000000000001" customHeight="1" thickBot="1" x14ac:dyDescent="0.35">
      <c r="D27" s="5"/>
      <c r="E27" s="4"/>
      <c r="F27" s="4"/>
      <c r="G27" s="4"/>
      <c r="H27" s="4"/>
    </row>
    <row r="28" spans="1:17" ht="20.100000000000001" customHeight="1" thickBot="1" x14ac:dyDescent="0.35">
      <c r="A28" s="112" t="s">
        <v>6</v>
      </c>
      <c r="B28" s="113" t="s">
        <v>5</v>
      </c>
      <c r="C28" s="81" t="s">
        <v>4</v>
      </c>
      <c r="D28" s="5"/>
      <c r="E28" s="170" t="s">
        <v>86</v>
      </c>
      <c r="F28" s="171"/>
      <c r="G28" s="171"/>
      <c r="H28" s="172"/>
    </row>
    <row r="29" spans="1:17" ht="47.4" customHeight="1" thickBot="1" x14ac:dyDescent="0.35">
      <c r="A29" s="27" t="s">
        <v>3</v>
      </c>
      <c r="B29" s="76">
        <v>5</v>
      </c>
      <c r="C29" s="74" t="s">
        <v>2</v>
      </c>
      <c r="D29" s="3"/>
      <c r="E29" s="162" t="s">
        <v>87</v>
      </c>
      <c r="F29" s="163"/>
      <c r="G29" s="163"/>
      <c r="H29" s="164"/>
    </row>
    <row r="30" spans="1:17" ht="44.4" customHeight="1" thickBot="1" x14ac:dyDescent="0.35">
      <c r="A30" s="75" t="s">
        <v>107</v>
      </c>
      <c r="B30" s="76">
        <v>0.5</v>
      </c>
      <c r="C30" s="74" t="s">
        <v>2</v>
      </c>
      <c r="D30" s="3"/>
      <c r="E30" s="162" t="s">
        <v>113</v>
      </c>
      <c r="F30" s="163"/>
      <c r="G30" s="163"/>
      <c r="H30" s="164"/>
    </row>
    <row r="31" spans="1:17" ht="37.200000000000003" customHeight="1" thickBot="1" x14ac:dyDescent="0.35">
      <c r="A31" s="77" t="s">
        <v>108</v>
      </c>
      <c r="B31" s="76">
        <v>0.25</v>
      </c>
      <c r="C31" s="74" t="s">
        <v>2</v>
      </c>
      <c r="D31" s="3"/>
      <c r="E31" s="162" t="s">
        <v>112</v>
      </c>
      <c r="F31" s="163"/>
      <c r="G31" s="163"/>
      <c r="H31" s="164"/>
    </row>
    <row r="32" spans="1:17" ht="26.1" customHeight="1" thickBot="1" x14ac:dyDescent="0.35">
      <c r="A32" s="78" t="s">
        <v>1</v>
      </c>
      <c r="B32" s="79">
        <v>0.5</v>
      </c>
      <c r="C32" s="80" t="s">
        <v>0</v>
      </c>
      <c r="D32" s="3"/>
      <c r="E32" s="162" t="s">
        <v>88</v>
      </c>
      <c r="F32" s="163"/>
      <c r="G32" s="163"/>
      <c r="H32" s="164"/>
    </row>
    <row r="33" spans="1:9" ht="20.100000000000001" customHeight="1" x14ac:dyDescent="0.3">
      <c r="A33" s="3"/>
      <c r="B33" s="3"/>
      <c r="C33" s="3"/>
      <c r="D33" s="3"/>
      <c r="E33" s="4"/>
      <c r="F33" s="4"/>
      <c r="G33" s="4"/>
      <c r="H33" s="4"/>
    </row>
    <row r="34" spans="1:9" ht="20.100000000000001" customHeight="1" x14ac:dyDescent="0.3">
      <c r="A34" s="3"/>
      <c r="B34" s="3"/>
      <c r="C34" s="3"/>
      <c r="D34" s="3"/>
      <c r="E34" s="4"/>
      <c r="F34" s="4"/>
      <c r="G34" s="4"/>
      <c r="H34" s="4"/>
    </row>
    <row r="35" spans="1:9" ht="20.100000000000001" customHeight="1" x14ac:dyDescent="0.3">
      <c r="A35" s="3"/>
      <c r="B35" s="3"/>
      <c r="C35" s="3"/>
      <c r="D35" s="3"/>
      <c r="G35" s="4"/>
      <c r="H35" s="4"/>
    </row>
    <row r="36" spans="1:9" ht="20.100000000000001" customHeight="1" x14ac:dyDescent="0.3">
      <c r="A36" s="3"/>
      <c r="B36" s="3"/>
      <c r="C36" s="3"/>
      <c r="D36" s="3"/>
      <c r="H36" s="3"/>
    </row>
    <row r="37" spans="1:9" ht="20.100000000000001" customHeight="1" x14ac:dyDescent="0.3">
      <c r="A37" s="3"/>
      <c r="B37" s="3"/>
      <c r="C37" s="3"/>
      <c r="D37" s="3"/>
      <c r="I37" s="3"/>
    </row>
    <row r="38" spans="1:9" ht="20.100000000000001" customHeight="1" x14ac:dyDescent="0.3">
      <c r="A38" s="3"/>
      <c r="B38" s="3"/>
      <c r="C38" s="3"/>
      <c r="D38" s="3"/>
    </row>
    <row r="39" spans="1:9" ht="20.100000000000001" customHeight="1" x14ac:dyDescent="0.3">
      <c r="A39" s="3"/>
      <c r="B39" s="3"/>
      <c r="C39" s="3"/>
      <c r="D39" s="2"/>
    </row>
    <row r="42" spans="1:9" ht="17.25" customHeight="1" x14ac:dyDescent="0.3"/>
    <row r="45" spans="1:9" ht="15" customHeight="1" x14ac:dyDescent="0.3"/>
    <row r="47" spans="1:9" ht="30" customHeight="1" x14ac:dyDescent="0.3"/>
  </sheetData>
  <dataConsolidate/>
  <mergeCells count="28">
    <mergeCell ref="A2:B2"/>
    <mergeCell ref="E2:H2"/>
    <mergeCell ref="J2:O2"/>
    <mergeCell ref="G13:H14"/>
    <mergeCell ref="A15:A16"/>
    <mergeCell ref="B15:C16"/>
    <mergeCell ref="M12:M15"/>
    <mergeCell ref="E13:F13"/>
    <mergeCell ref="E3:H3"/>
    <mergeCell ref="E12:F12"/>
    <mergeCell ref="G4:H5"/>
    <mergeCell ref="E15:F16"/>
    <mergeCell ref="G15:H18"/>
    <mergeCell ref="E30:H30"/>
    <mergeCell ref="E31:H31"/>
    <mergeCell ref="E32:H32"/>
    <mergeCell ref="J3:L3"/>
    <mergeCell ref="M3:O3"/>
    <mergeCell ref="E28:H28"/>
    <mergeCell ref="E29:H29"/>
    <mergeCell ref="M21:M23"/>
    <mergeCell ref="M17:M19"/>
    <mergeCell ref="E14:F14"/>
    <mergeCell ref="E19:H19"/>
    <mergeCell ref="E22:G22"/>
    <mergeCell ref="E26:F26"/>
    <mergeCell ref="E23:G23"/>
    <mergeCell ref="E24:G2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36" r:id="rId4" name="Button 12">
              <controlPr locked="0" defaultSize="0" print="0" autoFill="0" autoPict="0" macro="[0]!HV_Pump_Flow" altText="Click to Run Model">
                <anchor moveWithCells="1" sizeWithCells="1">
                  <from>
                    <xdr:col>9</xdr:col>
                    <xdr:colOff>137160</xdr:colOff>
                    <xdr:row>24</xdr:row>
                    <xdr:rowOff>30480</xdr:rowOff>
                  </from>
                  <to>
                    <xdr:col>10</xdr:col>
                    <xdr:colOff>464820</xdr:colOff>
                    <xdr:row>28</xdr:row>
                    <xdr:rowOff>487680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C1500"/>
  <sheetViews>
    <sheetView zoomScale="50" zoomScaleNormal="50" workbookViewId="0">
      <selection activeCell="D2" sqref="D2:E2"/>
    </sheetView>
  </sheetViews>
  <sheetFormatPr defaultRowHeight="14.4" x14ac:dyDescent="0.3"/>
  <cols>
    <col min="1" max="1" width="11.44140625" customWidth="1"/>
    <col min="2" max="2" width="8.6640625" style="55" customWidth="1"/>
    <col min="3" max="3" width="8.6640625" style="54" customWidth="1"/>
    <col min="4" max="4" width="14" customWidth="1"/>
    <col min="5" max="5" width="12" customWidth="1"/>
    <col min="22" max="22" width="9.33203125" customWidth="1"/>
  </cols>
  <sheetData>
    <row r="1" spans="1:107" ht="15" thickBot="1" x14ac:dyDescent="0.35">
      <c r="A1" s="68" t="s">
        <v>56</v>
      </c>
      <c r="B1" s="133" t="s">
        <v>54</v>
      </c>
      <c r="C1" s="137" t="s">
        <v>69</v>
      </c>
      <c r="G1" s="54"/>
      <c r="H1" s="54"/>
      <c r="J1" s="54"/>
      <c r="Q1" s="59"/>
      <c r="R1" s="59"/>
      <c r="S1" s="59"/>
      <c r="T1" s="59"/>
      <c r="U1" s="59"/>
      <c r="V1" s="59"/>
      <c r="CT1">
        <f>P_rate</f>
        <v>1.0594404273686412E-2</v>
      </c>
      <c r="CU1">
        <f>SUM(CU2:CU50)</f>
        <v>0</v>
      </c>
      <c r="CV1" t="s">
        <v>68</v>
      </c>
      <c r="CW1" t="s">
        <v>60</v>
      </c>
      <c r="CX1" t="s">
        <v>67</v>
      </c>
      <c r="CY1" t="s">
        <v>66</v>
      </c>
      <c r="CZ1" t="s">
        <v>65</v>
      </c>
      <c r="DA1" t="s">
        <v>64</v>
      </c>
      <c r="DB1" t="s">
        <v>63</v>
      </c>
      <c r="DC1" t="s">
        <v>62</v>
      </c>
    </row>
    <row r="2" spans="1:107" ht="15" thickBot="1" x14ac:dyDescent="0.35">
      <c r="A2" s="67" t="s">
        <v>61</v>
      </c>
      <c r="B2" s="66">
        <f>(2*B3*C2)/(C2+1)</f>
        <v>0.19690755900656051</v>
      </c>
      <c r="C2" s="138">
        <v>100</v>
      </c>
      <c r="D2" s="218" t="s">
        <v>60</v>
      </c>
      <c r="E2" s="219"/>
      <c r="H2" s="54"/>
      <c r="Q2" s="59"/>
      <c r="R2" s="59"/>
      <c r="S2" s="59"/>
      <c r="T2" s="59"/>
      <c r="U2" s="59"/>
      <c r="V2" s="59"/>
      <c r="CT2">
        <f>SUM(C7:C55)</f>
        <v>0</v>
      </c>
      <c r="CU2">
        <f>(2*(C7/1440)*PI()*(IF(Input!$B$12=0,0.01,Input!$B$12))*(0.2)/LN(10/W_rad))</f>
        <v>0</v>
      </c>
      <c r="CV2" t="s">
        <v>51</v>
      </c>
      <c r="CW2" t="s">
        <v>50</v>
      </c>
      <c r="CX2" t="s">
        <v>49</v>
      </c>
      <c r="CY2" t="s">
        <v>49</v>
      </c>
      <c r="CZ2" t="s">
        <v>49</v>
      </c>
      <c r="DA2" t="s">
        <v>50</v>
      </c>
      <c r="DB2" t="s">
        <v>50</v>
      </c>
      <c r="DC2" t="s">
        <v>49</v>
      </c>
    </row>
    <row r="3" spans="1:107" ht="15" thickBot="1" x14ac:dyDescent="0.35">
      <c r="A3" s="65" t="s">
        <v>59</v>
      </c>
      <c r="B3" s="64">
        <v>9.9438317298313053E-2</v>
      </c>
      <c r="C3"/>
      <c r="Q3" s="59"/>
      <c r="R3" s="59"/>
      <c r="S3" s="59"/>
      <c r="T3" s="59"/>
      <c r="U3" s="59"/>
      <c r="V3" s="59"/>
      <c r="CT3">
        <f>CT2/49</f>
        <v>0</v>
      </c>
      <c r="CU3">
        <f>(2*(C8/1440)*PI()*(IF(Input!$B$12=0,0.01,Input!$B$12))*(0.2)/LN(10/W_rad))</f>
        <v>0</v>
      </c>
      <c r="CV3" t="s">
        <v>49</v>
      </c>
      <c r="CW3" t="s">
        <v>50</v>
      </c>
      <c r="CX3" t="s">
        <v>49</v>
      </c>
      <c r="CY3" t="s">
        <v>49</v>
      </c>
      <c r="CZ3" t="s">
        <v>49</v>
      </c>
      <c r="DA3" t="s">
        <v>50</v>
      </c>
      <c r="DB3" t="s">
        <v>50</v>
      </c>
      <c r="DC3" t="s">
        <v>49</v>
      </c>
    </row>
    <row r="4" spans="1:107" ht="15" thickBot="1" x14ac:dyDescent="0.35">
      <c r="A4" s="135" t="s">
        <v>58</v>
      </c>
      <c r="B4" s="134">
        <f>(2*B3)/(C2+1)</f>
        <v>1.9690755900656051E-3</v>
      </c>
      <c r="C4"/>
      <c r="D4" s="139" t="s">
        <v>57</v>
      </c>
      <c r="E4" s="136">
        <f>ABS(CT1-CU1)+ABS(CT4-CT3)</f>
        <v>0.11003272157199946</v>
      </c>
      <c r="Q4" s="59"/>
      <c r="R4" s="59"/>
      <c r="S4" s="59"/>
      <c r="T4" s="59"/>
      <c r="U4" s="59"/>
      <c r="V4" s="59"/>
      <c r="CT4">
        <v>9.9438317298313053E-2</v>
      </c>
      <c r="CU4">
        <f>(2*(C9/1440)*PI()*(IF(Input!$B$12=0,0.01,Input!$B$12))*(0.2)/LN(10/W_rad))</f>
        <v>0</v>
      </c>
      <c r="CV4" t="s">
        <v>51</v>
      </c>
      <c r="CW4" t="s">
        <v>50</v>
      </c>
      <c r="CX4" t="s">
        <v>49</v>
      </c>
      <c r="CY4" t="s">
        <v>49</v>
      </c>
      <c r="CZ4" t="s">
        <v>49</v>
      </c>
      <c r="DA4" t="s">
        <v>50</v>
      </c>
      <c r="DB4" t="s">
        <v>50</v>
      </c>
      <c r="DC4" t="s">
        <v>50</v>
      </c>
    </row>
    <row r="5" spans="1:107" x14ac:dyDescent="0.3">
      <c r="B5"/>
      <c r="C5"/>
      <c r="Q5" s="59"/>
      <c r="R5" s="59"/>
      <c r="S5" s="59"/>
      <c r="T5" s="59"/>
      <c r="U5" s="59"/>
      <c r="V5" s="59"/>
      <c r="CT5">
        <v>100</v>
      </c>
      <c r="CU5">
        <f>(2*(C10/1440)*PI()*(IF(Input!$B$12=0,0.01,Input!$B$12))*(0.2)/LN(10/W_rad))</f>
        <v>0</v>
      </c>
      <c r="CV5" t="s">
        <v>49</v>
      </c>
      <c r="CW5" t="s">
        <v>50</v>
      </c>
      <c r="CX5" t="s">
        <v>49</v>
      </c>
      <c r="CY5" t="s">
        <v>49</v>
      </c>
      <c r="CZ5" t="s">
        <v>49</v>
      </c>
      <c r="DA5" t="s">
        <v>50</v>
      </c>
      <c r="DB5" t="s">
        <v>50</v>
      </c>
      <c r="DC5" t="s">
        <v>51</v>
      </c>
    </row>
    <row r="6" spans="1:107" x14ac:dyDescent="0.3">
      <c r="A6" s="59" t="s">
        <v>56</v>
      </c>
      <c r="B6" s="59" t="s">
        <v>55</v>
      </c>
      <c r="C6" s="59" t="s">
        <v>54</v>
      </c>
      <c r="Q6" s="59"/>
      <c r="R6" s="59"/>
      <c r="S6" s="59"/>
      <c r="T6" s="59"/>
      <c r="U6" s="59"/>
      <c r="V6" s="59"/>
      <c r="CU6">
        <f>(2*(C11/1440)*PI()*(IF(Input!$B$12=0,0.01,Input!$B$12))*(0.2)/LN(10/W_rad))</f>
        <v>0</v>
      </c>
      <c r="CV6" t="s">
        <v>51</v>
      </c>
      <c r="CW6" t="s">
        <v>50</v>
      </c>
      <c r="CX6" t="s">
        <v>49</v>
      </c>
      <c r="CY6" t="s">
        <v>49</v>
      </c>
      <c r="CZ6" t="s">
        <v>49</v>
      </c>
      <c r="DA6" t="s">
        <v>50</v>
      </c>
      <c r="DB6" t="s">
        <v>50</v>
      </c>
      <c r="DC6" t="s">
        <v>50</v>
      </c>
    </row>
    <row r="7" spans="1:107" x14ac:dyDescent="0.3">
      <c r="A7" s="59"/>
      <c r="B7" s="59">
        <v>-11</v>
      </c>
      <c r="C7" s="59">
        <f t="shared" ref="C7:C38" si="0">IF(A7="H",$B$2,IF(A7="M",$B$3,IF(A7="L",$B$4,0)))</f>
        <v>0</v>
      </c>
      <c r="D7" s="56" t="s">
        <v>53</v>
      </c>
      <c r="Q7" s="59"/>
      <c r="R7" s="59"/>
      <c r="S7" s="59"/>
      <c r="T7" s="59"/>
      <c r="U7" s="59"/>
      <c r="V7" s="59"/>
      <c r="CU7">
        <f>(2*(C12/1440)*PI()*(IF(Input!$B$12=0,0.01,Input!$B$12))*(0.2)/LN(10/W_rad))</f>
        <v>0</v>
      </c>
      <c r="CV7" t="s">
        <v>49</v>
      </c>
      <c r="CW7" t="s">
        <v>49</v>
      </c>
      <c r="CX7" t="s">
        <v>49</v>
      </c>
      <c r="CY7" t="s">
        <v>49</v>
      </c>
      <c r="CZ7" t="s">
        <v>49</v>
      </c>
      <c r="DA7" t="s">
        <v>50</v>
      </c>
      <c r="DB7" t="s">
        <v>50</v>
      </c>
      <c r="DC7" t="s">
        <v>51</v>
      </c>
    </row>
    <row r="8" spans="1:107" x14ac:dyDescent="0.3">
      <c r="A8" s="59"/>
      <c r="B8" s="59">
        <v>-10.9</v>
      </c>
      <c r="C8" s="59">
        <f t="shared" si="0"/>
        <v>0</v>
      </c>
      <c r="D8" s="56"/>
      <c r="Q8" s="59"/>
      <c r="R8" s="59"/>
      <c r="S8" s="59"/>
      <c r="T8" s="59"/>
      <c r="U8" s="59"/>
      <c r="V8" s="59"/>
      <c r="CU8">
        <f>(2*(C13/1440)*PI()*(IF(Input!$B$12=0,0.01,Input!$B$12))*(0.2)/LN(10/W_rad))</f>
        <v>0</v>
      </c>
      <c r="CV8" t="s">
        <v>51</v>
      </c>
      <c r="CW8" t="s">
        <v>49</v>
      </c>
      <c r="CX8" t="s">
        <v>49</v>
      </c>
      <c r="CY8" t="s">
        <v>49</v>
      </c>
      <c r="CZ8" t="s">
        <v>49</v>
      </c>
      <c r="DA8" t="s">
        <v>50</v>
      </c>
      <c r="DB8" t="s">
        <v>50</v>
      </c>
      <c r="DC8" t="s">
        <v>51</v>
      </c>
    </row>
    <row r="9" spans="1:107" x14ac:dyDescent="0.3">
      <c r="A9" s="59"/>
      <c r="B9" s="59">
        <v>-10.700000000000001</v>
      </c>
      <c r="C9" s="59">
        <f t="shared" si="0"/>
        <v>0</v>
      </c>
      <c r="D9" s="56"/>
      <c r="Q9" s="59"/>
      <c r="R9" s="59"/>
      <c r="S9" s="59"/>
      <c r="T9" s="59"/>
      <c r="U9" s="59"/>
      <c r="V9" s="59"/>
      <c r="CU9">
        <f>(2*(C14/1440)*PI()*(IF(Input!$B$12=0,0.01,Input!$B$12))*(0.2)/LN(10/W_rad))</f>
        <v>0</v>
      </c>
      <c r="CV9" t="s">
        <v>49</v>
      </c>
      <c r="CW9" t="s">
        <v>49</v>
      </c>
      <c r="CX9" t="s">
        <v>49</v>
      </c>
      <c r="CY9" t="s">
        <v>49</v>
      </c>
      <c r="CZ9" t="s">
        <v>49</v>
      </c>
      <c r="DA9" t="s">
        <v>50</v>
      </c>
      <c r="DB9" t="s">
        <v>50</v>
      </c>
      <c r="DC9" t="s">
        <v>49</v>
      </c>
    </row>
    <row r="10" spans="1:107" x14ac:dyDescent="0.3">
      <c r="A10" s="59"/>
      <c r="B10" s="59">
        <v>-10.500000000000002</v>
      </c>
      <c r="C10" s="59">
        <f t="shared" si="0"/>
        <v>0</v>
      </c>
      <c r="D10" s="56"/>
      <c r="Q10" s="59"/>
      <c r="R10" s="59"/>
      <c r="S10" s="59"/>
      <c r="T10" s="59"/>
      <c r="U10" s="59"/>
      <c r="V10" s="59"/>
      <c r="CU10">
        <f>(2*(C15/1440)*PI()*(IF(Input!$B$12=0,0.01,Input!$B$12))*(0.2)/LN(10/W_rad))</f>
        <v>0</v>
      </c>
      <c r="CV10" t="s">
        <v>51</v>
      </c>
      <c r="CW10" t="s">
        <v>49</v>
      </c>
      <c r="CX10" t="s">
        <v>49</v>
      </c>
      <c r="CY10" t="s">
        <v>49</v>
      </c>
      <c r="CZ10" t="s">
        <v>50</v>
      </c>
      <c r="DA10" t="s">
        <v>50</v>
      </c>
      <c r="DB10" t="s">
        <v>50</v>
      </c>
      <c r="DC10" t="s">
        <v>49</v>
      </c>
    </row>
    <row r="11" spans="1:107" x14ac:dyDescent="0.3">
      <c r="A11" s="59"/>
      <c r="B11" s="59">
        <v>-10.300000000000002</v>
      </c>
      <c r="C11" s="59">
        <f t="shared" si="0"/>
        <v>0</v>
      </c>
      <c r="D11" s="56"/>
      <c r="Q11" s="59"/>
      <c r="R11" s="59"/>
      <c r="S11" s="59"/>
      <c r="T11" s="59"/>
      <c r="U11" s="59"/>
      <c r="V11" s="59"/>
      <c r="CU11">
        <f>(2*(C16/1440)*PI()*(IF(Input!$B$12=0,0.01,Input!$B$12))*(0.2)/LN(10/W_rad))</f>
        <v>0</v>
      </c>
      <c r="CV11" t="s">
        <v>49</v>
      </c>
      <c r="CW11" t="s">
        <v>49</v>
      </c>
      <c r="CX11" t="s">
        <v>49</v>
      </c>
      <c r="CY11" t="s">
        <v>49</v>
      </c>
      <c r="CZ11" t="s">
        <v>50</v>
      </c>
      <c r="DA11" t="s">
        <v>50</v>
      </c>
      <c r="DB11" t="s">
        <v>50</v>
      </c>
      <c r="DC11" t="s">
        <v>50</v>
      </c>
    </row>
    <row r="12" spans="1:107" x14ac:dyDescent="0.3">
      <c r="A12" s="59"/>
      <c r="B12" s="59">
        <v>-10.100000000000003</v>
      </c>
      <c r="C12" s="59">
        <f t="shared" si="0"/>
        <v>0</v>
      </c>
      <c r="D12" s="56"/>
      <c r="Q12" s="59"/>
      <c r="R12" s="59"/>
      <c r="S12" s="59"/>
      <c r="T12" s="59"/>
      <c r="U12" s="59"/>
      <c r="V12" s="59"/>
      <c r="CU12">
        <f>(2*(C17/1440)*PI()*(IF(Input!$B$12=0,0.01,Input!$B$12))*(0.2)/LN(10/W_rad))</f>
        <v>0</v>
      </c>
      <c r="CV12" t="s">
        <v>51</v>
      </c>
      <c r="CW12" t="s">
        <v>49</v>
      </c>
      <c r="CX12" t="s">
        <v>49</v>
      </c>
      <c r="CY12" t="s">
        <v>49</v>
      </c>
      <c r="CZ12" t="s">
        <v>50</v>
      </c>
      <c r="DA12" t="s">
        <v>50</v>
      </c>
      <c r="DB12" t="s">
        <v>50</v>
      </c>
      <c r="DC12" t="s">
        <v>50</v>
      </c>
    </row>
    <row r="13" spans="1:107" x14ac:dyDescent="0.3">
      <c r="A13" s="59"/>
      <c r="B13" s="59">
        <v>-9.9000000000000039</v>
      </c>
      <c r="C13" s="59">
        <f t="shared" si="0"/>
        <v>0</v>
      </c>
      <c r="D13" s="56"/>
      <c r="Q13" s="59"/>
      <c r="R13" s="59"/>
      <c r="S13" s="59"/>
      <c r="T13" s="59"/>
      <c r="U13" s="59"/>
      <c r="V13" s="59"/>
      <c r="CU13">
        <f>(2*(C18/1440)*PI()*(IF(Input!$B$12=0,0.01,Input!$B$12))*(0.2)/LN(10/W_rad))</f>
        <v>0</v>
      </c>
      <c r="CV13" t="s">
        <v>49</v>
      </c>
      <c r="CW13" t="s">
        <v>49</v>
      </c>
      <c r="CX13" t="s">
        <v>49</v>
      </c>
      <c r="CY13" t="s">
        <v>49</v>
      </c>
      <c r="CZ13" t="s">
        <v>50</v>
      </c>
      <c r="DA13" t="s">
        <v>50</v>
      </c>
      <c r="DB13" t="s">
        <v>50</v>
      </c>
      <c r="DC13" t="s">
        <v>49</v>
      </c>
    </row>
    <row r="14" spans="1:107" x14ac:dyDescent="0.3">
      <c r="A14" s="59"/>
      <c r="B14" s="59">
        <v>-9.7000000000000046</v>
      </c>
      <c r="C14" s="59">
        <f t="shared" si="0"/>
        <v>0</v>
      </c>
      <c r="D14" s="56"/>
      <c r="Q14" s="59"/>
      <c r="R14" s="59"/>
      <c r="S14" s="59"/>
      <c r="T14" s="59"/>
      <c r="U14" s="59"/>
      <c r="V14" s="59"/>
      <c r="CU14">
        <f>(2*(C19/1440)*PI()*(IF(Input!$B$12=0,0.01,Input!$B$12))*(0.2)/LN(10/W_rad))</f>
        <v>0</v>
      </c>
      <c r="CV14" t="s">
        <v>51</v>
      </c>
      <c r="CW14" t="s">
        <v>49</v>
      </c>
      <c r="CX14" t="s">
        <v>49</v>
      </c>
      <c r="CY14" t="s">
        <v>49</v>
      </c>
      <c r="CZ14" t="s">
        <v>50</v>
      </c>
      <c r="DA14" t="s">
        <v>50</v>
      </c>
      <c r="DB14" t="s">
        <v>50</v>
      </c>
      <c r="DC14" t="s">
        <v>51</v>
      </c>
    </row>
    <row r="15" spans="1:107" x14ac:dyDescent="0.3">
      <c r="A15" s="59"/>
      <c r="B15" s="59">
        <v>-9.5000000000000053</v>
      </c>
      <c r="C15" s="59">
        <f t="shared" si="0"/>
        <v>0</v>
      </c>
      <c r="D15" s="56"/>
      <c r="Q15" s="59"/>
      <c r="R15" s="59"/>
      <c r="S15" s="59"/>
      <c r="T15" s="59"/>
      <c r="U15" s="59"/>
      <c r="V15" s="59"/>
      <c r="CU15">
        <f>(2*(C20/1440)*PI()*(IF(Input!$B$12=0,0.01,Input!$B$12))*(0.2)/LN(10/W_rad))</f>
        <v>0</v>
      </c>
      <c r="CV15" t="s">
        <v>49</v>
      </c>
      <c r="CW15" t="s">
        <v>49</v>
      </c>
      <c r="CX15" t="s">
        <v>49</v>
      </c>
      <c r="CY15" t="s">
        <v>49</v>
      </c>
      <c r="CZ15" t="s">
        <v>49</v>
      </c>
      <c r="DA15" t="s">
        <v>50</v>
      </c>
      <c r="DB15" t="s">
        <v>50</v>
      </c>
      <c r="DC15" t="s">
        <v>51</v>
      </c>
    </row>
    <row r="16" spans="1:107" x14ac:dyDescent="0.3">
      <c r="A16" s="59"/>
      <c r="B16" s="59">
        <v>-9.300000000000006</v>
      </c>
      <c r="C16" s="59">
        <f t="shared" si="0"/>
        <v>0</v>
      </c>
      <c r="D16" s="56"/>
      <c r="Q16" s="59"/>
      <c r="R16" s="59"/>
      <c r="S16" s="59"/>
      <c r="T16" s="59"/>
      <c r="U16" s="59"/>
      <c r="V16" s="59"/>
      <c r="CU16">
        <f>(2*(C21/1440)*PI()*(IF(Input!$B$12=0,0.01,Input!$B$12))*(0.2)/LN(10/W_rad))</f>
        <v>0</v>
      </c>
      <c r="CV16" t="s">
        <v>51</v>
      </c>
      <c r="CW16" t="s">
        <v>49</v>
      </c>
      <c r="CX16" t="s">
        <v>49</v>
      </c>
      <c r="CY16" t="s">
        <v>49</v>
      </c>
      <c r="CZ16" t="s">
        <v>49</v>
      </c>
      <c r="DA16" t="s">
        <v>50</v>
      </c>
      <c r="DB16" t="s">
        <v>50</v>
      </c>
      <c r="DC16" t="s">
        <v>51</v>
      </c>
    </row>
    <row r="17" spans="1:107" x14ac:dyDescent="0.3">
      <c r="A17" s="59"/>
      <c r="B17" s="59">
        <v>-9.1000000000000068</v>
      </c>
      <c r="C17" s="59">
        <f t="shared" si="0"/>
        <v>0</v>
      </c>
      <c r="D17" s="56"/>
      <c r="Q17" s="59"/>
      <c r="R17" s="59"/>
      <c r="S17" s="59"/>
      <c r="T17" s="59"/>
      <c r="U17" s="59"/>
      <c r="V17" s="59"/>
      <c r="CU17">
        <f>(2*(C22/1440)*PI()*(IF(Input!$B$12=0,0.01,Input!$B$12))*(0.2)/LN(10/W_rad))</f>
        <v>0</v>
      </c>
      <c r="CV17" t="s">
        <v>49</v>
      </c>
      <c r="CW17" t="s">
        <v>49</v>
      </c>
      <c r="CX17" t="s">
        <v>49</v>
      </c>
      <c r="CY17" t="s">
        <v>49</v>
      </c>
      <c r="CZ17" t="s">
        <v>49</v>
      </c>
      <c r="DA17" t="s">
        <v>50</v>
      </c>
      <c r="DB17" t="s">
        <v>50</v>
      </c>
      <c r="DC17" t="s">
        <v>51</v>
      </c>
    </row>
    <row r="18" spans="1:107" x14ac:dyDescent="0.3">
      <c r="A18" s="59"/>
      <c r="B18" s="59">
        <v>-8.9000000000000075</v>
      </c>
      <c r="C18" s="59">
        <f t="shared" si="0"/>
        <v>0</v>
      </c>
      <c r="D18" s="56"/>
      <c r="CU18">
        <f>(2*(C23/1440)*PI()*(IF(Input!$B$12=0,0.01,Input!$B$12))*(0.2)/LN(10/W_rad))</f>
        <v>0</v>
      </c>
      <c r="CV18" t="s">
        <v>51</v>
      </c>
      <c r="CW18" t="s">
        <v>49</v>
      </c>
      <c r="CX18" t="s">
        <v>49</v>
      </c>
      <c r="CY18" t="s">
        <v>49</v>
      </c>
      <c r="CZ18" t="s">
        <v>49</v>
      </c>
      <c r="DA18" t="s">
        <v>50</v>
      </c>
      <c r="DB18" t="s">
        <v>51</v>
      </c>
      <c r="DC18" t="s">
        <v>49</v>
      </c>
    </row>
    <row r="19" spans="1:107" x14ac:dyDescent="0.3">
      <c r="A19" s="59"/>
      <c r="B19" s="59">
        <v>-8.7000000000000082</v>
      </c>
      <c r="C19" s="59">
        <f t="shared" si="0"/>
        <v>0</v>
      </c>
      <c r="D19" s="56"/>
      <c r="CU19">
        <f>(2*(C24/1440)*PI()*(IF(Input!$B$12=0,0.01,Input!$B$12))*(0.2)/LN(10/W_rad))</f>
        <v>0</v>
      </c>
      <c r="CV19" t="s">
        <v>49</v>
      </c>
      <c r="CW19" t="s">
        <v>49</v>
      </c>
      <c r="CX19" t="s">
        <v>49</v>
      </c>
      <c r="CY19" t="s">
        <v>49</v>
      </c>
      <c r="CZ19" t="s">
        <v>49</v>
      </c>
      <c r="DA19" t="s">
        <v>50</v>
      </c>
      <c r="DB19" t="s">
        <v>51</v>
      </c>
      <c r="DC19" t="s">
        <v>49</v>
      </c>
    </row>
    <row r="20" spans="1:107" x14ac:dyDescent="0.3">
      <c r="A20" s="59"/>
      <c r="B20" s="59">
        <v>-8.5000000000000089</v>
      </c>
      <c r="C20" s="59">
        <f t="shared" si="0"/>
        <v>0</v>
      </c>
      <c r="D20" s="56"/>
      <c r="CU20">
        <f>(2*(C25/1440)*PI()*(IF(Input!$B$12=0,0.01,Input!$B$12))*(0.2)/LN(10/W_rad))</f>
        <v>0</v>
      </c>
      <c r="CV20" t="s">
        <v>51</v>
      </c>
      <c r="CW20" t="s">
        <v>49</v>
      </c>
      <c r="CX20" t="s">
        <v>49</v>
      </c>
      <c r="CY20" t="s">
        <v>49</v>
      </c>
      <c r="CZ20" t="s">
        <v>49</v>
      </c>
      <c r="DA20" t="s">
        <v>50</v>
      </c>
      <c r="DB20" t="s">
        <v>51</v>
      </c>
      <c r="DC20" t="s">
        <v>50</v>
      </c>
    </row>
    <row r="21" spans="1:107" x14ac:dyDescent="0.3">
      <c r="A21" s="59"/>
      <c r="B21" s="59">
        <v>-8.3000000000000096</v>
      </c>
      <c r="C21" s="59">
        <f t="shared" si="0"/>
        <v>0</v>
      </c>
      <c r="D21" s="56"/>
      <c r="CU21">
        <f>(2*(C26/1440)*PI()*(IF(Input!$B$12=0,0.01,Input!$B$12))*(0.2)/LN(10/W_rad))</f>
        <v>0</v>
      </c>
      <c r="CV21" t="s">
        <v>49</v>
      </c>
      <c r="CW21" t="s">
        <v>49</v>
      </c>
      <c r="CX21" t="s">
        <v>49</v>
      </c>
      <c r="CY21" t="s">
        <v>49</v>
      </c>
      <c r="CZ21" t="s">
        <v>49</v>
      </c>
      <c r="DA21" t="s">
        <v>50</v>
      </c>
      <c r="DB21" t="s">
        <v>51</v>
      </c>
      <c r="DC21" t="s">
        <v>49</v>
      </c>
    </row>
    <row r="22" spans="1:107" x14ac:dyDescent="0.3">
      <c r="A22" s="59"/>
      <c r="B22" s="59">
        <v>-8.1000000000000103</v>
      </c>
      <c r="C22" s="59">
        <f t="shared" si="0"/>
        <v>0</v>
      </c>
      <c r="D22" s="56"/>
      <c r="CU22">
        <f>(2*(C27/1440)*PI()*(IF(Input!$B$12=0,0.01,Input!$B$12))*(0.2)/LN(10/W_rad))</f>
        <v>0</v>
      </c>
      <c r="CV22" t="s">
        <v>51</v>
      </c>
      <c r="CW22" t="s">
        <v>49</v>
      </c>
      <c r="CX22" t="s">
        <v>49</v>
      </c>
      <c r="CY22" t="s">
        <v>49</v>
      </c>
      <c r="CZ22" t="s">
        <v>49</v>
      </c>
      <c r="DA22" t="s">
        <v>50</v>
      </c>
      <c r="DB22" t="s">
        <v>51</v>
      </c>
      <c r="DC22" t="s">
        <v>51</v>
      </c>
    </row>
    <row r="23" spans="1:107" x14ac:dyDescent="0.3">
      <c r="A23" s="59"/>
      <c r="B23" s="59">
        <v>-7.9000000000000101</v>
      </c>
      <c r="C23" s="59">
        <f t="shared" si="0"/>
        <v>0</v>
      </c>
      <c r="D23" s="56"/>
      <c r="CU23">
        <f>(2*(C28/1440)*PI()*(IF(Input!$B$12=0,0.01,Input!$B$12))*(0.2)/LN(10/W_rad))</f>
        <v>0</v>
      </c>
      <c r="CV23" t="s">
        <v>49</v>
      </c>
      <c r="CW23" t="s">
        <v>49</v>
      </c>
      <c r="CX23" t="s">
        <v>49</v>
      </c>
      <c r="CY23" t="s">
        <v>49</v>
      </c>
      <c r="CZ23" t="s">
        <v>49</v>
      </c>
      <c r="DA23" t="s">
        <v>50</v>
      </c>
      <c r="DB23" t="s">
        <v>51</v>
      </c>
      <c r="DC23" t="s">
        <v>51</v>
      </c>
    </row>
    <row r="24" spans="1:107" x14ac:dyDescent="0.3">
      <c r="A24" s="59"/>
      <c r="B24" s="59">
        <v>-7.7000000000000099</v>
      </c>
      <c r="C24" s="59">
        <f t="shared" si="0"/>
        <v>0</v>
      </c>
      <c r="D24" s="56"/>
      <c r="CU24">
        <f>(2*(C29/1440)*PI()*(IF(Input!$B$12=0,0.01,Input!$B$12))*(0.2)/LN(10/W_rad))</f>
        <v>0</v>
      </c>
      <c r="CV24" t="s">
        <v>51</v>
      </c>
      <c r="CW24" t="s">
        <v>49</v>
      </c>
      <c r="CX24" t="s">
        <v>49</v>
      </c>
      <c r="CY24" t="s">
        <v>49</v>
      </c>
      <c r="CZ24" t="s">
        <v>49</v>
      </c>
      <c r="DA24" t="s">
        <v>50</v>
      </c>
      <c r="DB24" t="s">
        <v>51</v>
      </c>
      <c r="DC24" t="s">
        <v>51</v>
      </c>
    </row>
    <row r="25" spans="1:107" x14ac:dyDescent="0.3">
      <c r="A25" s="59"/>
      <c r="B25" s="59">
        <v>-7.5000000000000098</v>
      </c>
      <c r="C25" s="59">
        <f t="shared" si="0"/>
        <v>0</v>
      </c>
      <c r="D25" s="56"/>
      <c r="CU25">
        <f>(2*(C30/1440)*PI()*(IF(Input!$B$12=0,0.01,Input!$B$12))*(0.2)/LN(10/W_rad))</f>
        <v>0</v>
      </c>
      <c r="CV25" t="s">
        <v>49</v>
      </c>
      <c r="CW25" t="s">
        <v>49</v>
      </c>
      <c r="CX25" t="s">
        <v>49</v>
      </c>
      <c r="CY25" t="s">
        <v>49</v>
      </c>
      <c r="CZ25" t="s">
        <v>49</v>
      </c>
      <c r="DA25" t="s">
        <v>50</v>
      </c>
      <c r="DB25" t="s">
        <v>51</v>
      </c>
      <c r="DC25" t="s">
        <v>51</v>
      </c>
    </row>
    <row r="26" spans="1:107" x14ac:dyDescent="0.3">
      <c r="A26" s="59"/>
      <c r="B26" s="59">
        <v>-7.3000000000000096</v>
      </c>
      <c r="C26" s="59">
        <f t="shared" si="0"/>
        <v>0</v>
      </c>
      <c r="D26" s="56"/>
      <c r="CU26">
        <f>(2*(C31/1440)*PI()*(IF(Input!$B$12=0,0.01,Input!$B$12))*(0.2)/LN(10/W_rad))</f>
        <v>0</v>
      </c>
      <c r="CV26" t="s">
        <v>51</v>
      </c>
      <c r="CW26" t="s">
        <v>49</v>
      </c>
      <c r="CX26" t="s">
        <v>50</v>
      </c>
      <c r="CY26" t="s">
        <v>49</v>
      </c>
      <c r="CZ26" t="s">
        <v>49</v>
      </c>
      <c r="DA26" t="s">
        <v>49</v>
      </c>
      <c r="DB26" t="s">
        <v>51</v>
      </c>
      <c r="DC26" t="s">
        <v>50</v>
      </c>
    </row>
    <row r="27" spans="1:107" x14ac:dyDescent="0.3">
      <c r="A27" s="59"/>
      <c r="B27" s="59">
        <v>-7.1000000000000094</v>
      </c>
      <c r="C27" s="59">
        <f t="shared" si="0"/>
        <v>0</v>
      </c>
      <c r="D27" s="56"/>
      <c r="CU27">
        <f>(2*(C32/1440)*PI()*(IF(Input!$B$12=0,0.01,Input!$B$12))*(0.2)/LN(10/W_rad))</f>
        <v>0</v>
      </c>
      <c r="CV27" t="s">
        <v>49</v>
      </c>
      <c r="CW27" t="s">
        <v>49</v>
      </c>
      <c r="CX27" t="s">
        <v>50</v>
      </c>
      <c r="CY27" t="s">
        <v>49</v>
      </c>
      <c r="CZ27" t="s">
        <v>49</v>
      </c>
      <c r="DA27" t="s">
        <v>49</v>
      </c>
      <c r="DB27" t="s">
        <v>51</v>
      </c>
      <c r="DC27" t="s">
        <v>50</v>
      </c>
    </row>
    <row r="28" spans="1:107" x14ac:dyDescent="0.3">
      <c r="A28" s="59"/>
      <c r="B28" s="59">
        <v>-6.9000000000000092</v>
      </c>
      <c r="C28" s="59">
        <f t="shared" si="0"/>
        <v>0</v>
      </c>
      <c r="D28" s="56"/>
      <c r="CU28">
        <f>(2*(C33/1440)*PI()*(IF(Input!$B$12=0,0.01,Input!$B$12))*(0.2)/LN(10/W_rad))</f>
        <v>0</v>
      </c>
      <c r="CV28" t="s">
        <v>51</v>
      </c>
      <c r="CW28" t="s">
        <v>49</v>
      </c>
      <c r="CX28" t="s">
        <v>50</v>
      </c>
      <c r="CY28" t="s">
        <v>49</v>
      </c>
      <c r="CZ28" t="s">
        <v>49</v>
      </c>
      <c r="DA28" t="s">
        <v>49</v>
      </c>
      <c r="DB28" t="s">
        <v>51</v>
      </c>
      <c r="DC28" t="s">
        <v>49</v>
      </c>
    </row>
    <row r="29" spans="1:107" x14ac:dyDescent="0.3">
      <c r="A29" s="59"/>
      <c r="B29" s="59">
        <v>-6.7000000000000091</v>
      </c>
      <c r="C29" s="59">
        <f t="shared" si="0"/>
        <v>0</v>
      </c>
      <c r="D29" s="56"/>
      <c r="CU29">
        <f>(2*(C34/1440)*PI()*(IF(Input!$B$12=0,0.01,Input!$B$12))*(0.2)/LN(10/W_rad))</f>
        <v>0</v>
      </c>
      <c r="CV29" t="s">
        <v>49</v>
      </c>
      <c r="CW29" t="s">
        <v>49</v>
      </c>
      <c r="CX29" t="s">
        <v>50</v>
      </c>
      <c r="CY29" t="s">
        <v>49</v>
      </c>
      <c r="CZ29" t="s">
        <v>49</v>
      </c>
      <c r="DA29" t="s">
        <v>49</v>
      </c>
      <c r="DB29" t="s">
        <v>51</v>
      </c>
      <c r="DC29" t="s">
        <v>49</v>
      </c>
    </row>
    <row r="30" spans="1:107" x14ac:dyDescent="0.3">
      <c r="A30" s="59"/>
      <c r="B30" s="59">
        <v>-6.5000000000000089</v>
      </c>
      <c r="C30" s="59">
        <f t="shared" si="0"/>
        <v>0</v>
      </c>
      <c r="D30" s="56"/>
      <c r="CU30">
        <f>(2*(C35/1440)*PI()*(IF(Input!$B$12=0,0.01,Input!$B$12))*(0.2)/LN(10/W_rad))</f>
        <v>0</v>
      </c>
      <c r="CV30" t="s">
        <v>51</v>
      </c>
      <c r="CW30" t="s">
        <v>49</v>
      </c>
      <c r="CX30" t="s">
        <v>50</v>
      </c>
      <c r="CY30" t="s">
        <v>49</v>
      </c>
      <c r="CZ30" t="s">
        <v>49</v>
      </c>
      <c r="DA30" t="s">
        <v>49</v>
      </c>
      <c r="DB30" t="s">
        <v>51</v>
      </c>
      <c r="DC30" t="s">
        <v>50</v>
      </c>
    </row>
    <row r="31" spans="1:107" x14ac:dyDescent="0.3">
      <c r="A31" s="59"/>
      <c r="B31" s="59">
        <v>-6.3000000000000087</v>
      </c>
      <c r="C31" s="59">
        <f t="shared" si="0"/>
        <v>0</v>
      </c>
      <c r="D31" s="56"/>
      <c r="CU31">
        <f>(2*(C36/1440)*PI()*(IF(Input!$B$12=0,0.01,Input!$B$12))*(0.2)/LN(10/W_rad))</f>
        <v>0</v>
      </c>
      <c r="CV31" t="s">
        <v>49</v>
      </c>
      <c r="CW31" t="s">
        <v>49</v>
      </c>
      <c r="CX31" t="s">
        <v>49</v>
      </c>
      <c r="CY31" t="s">
        <v>49</v>
      </c>
      <c r="CZ31" t="s">
        <v>49</v>
      </c>
      <c r="DA31" t="s">
        <v>49</v>
      </c>
      <c r="DB31" t="s">
        <v>51</v>
      </c>
      <c r="DC31" t="s">
        <v>50</v>
      </c>
    </row>
    <row r="32" spans="1:107" x14ac:dyDescent="0.3">
      <c r="A32" s="59"/>
      <c r="B32" s="59">
        <v>-6.1000000000000085</v>
      </c>
      <c r="C32" s="59">
        <f t="shared" si="0"/>
        <v>0</v>
      </c>
      <c r="D32" s="56"/>
      <c r="CU32">
        <f>(2*(C37/1440)*PI()*(IF(Input!$B$12=0,0.01,Input!$B$12))*(0.2)/LN(10/W_rad))</f>
        <v>0</v>
      </c>
      <c r="CV32" t="s">
        <v>51</v>
      </c>
      <c r="CW32" t="s">
        <v>49</v>
      </c>
      <c r="CX32" t="s">
        <v>49</v>
      </c>
      <c r="CY32" t="s">
        <v>49</v>
      </c>
      <c r="CZ32" t="s">
        <v>49</v>
      </c>
      <c r="DA32" t="s">
        <v>49</v>
      </c>
      <c r="DB32" t="s">
        <v>51</v>
      </c>
      <c r="DC32" t="s">
        <v>51</v>
      </c>
    </row>
    <row r="33" spans="1:107" x14ac:dyDescent="0.3">
      <c r="A33" s="59"/>
      <c r="B33" s="59">
        <v>-5.9000000000000083</v>
      </c>
      <c r="C33" s="59">
        <f t="shared" si="0"/>
        <v>0</v>
      </c>
      <c r="D33" s="56"/>
      <c r="CU33">
        <f>(2*(C38/1440)*PI()*(IF(Input!$B$12=0,0.01,Input!$B$12))*(0.2)/LN(10/W_rad))</f>
        <v>0</v>
      </c>
      <c r="CV33" t="s">
        <v>49</v>
      </c>
      <c r="CW33" t="s">
        <v>49</v>
      </c>
      <c r="CX33" t="s">
        <v>49</v>
      </c>
      <c r="CY33" t="s">
        <v>49</v>
      </c>
      <c r="CZ33" t="s">
        <v>49</v>
      </c>
      <c r="DA33" t="s">
        <v>49</v>
      </c>
      <c r="DB33" t="s">
        <v>51</v>
      </c>
      <c r="DC33" t="s">
        <v>51</v>
      </c>
    </row>
    <row r="34" spans="1:107" x14ac:dyDescent="0.3">
      <c r="A34" s="59"/>
      <c r="B34" s="59">
        <v>-5.7000000000000082</v>
      </c>
      <c r="C34" s="59">
        <f t="shared" si="0"/>
        <v>0</v>
      </c>
      <c r="D34" s="56"/>
      <c r="CU34">
        <f>(2*(C39/1440)*PI()*(IF(Input!$B$12=0,0.01,Input!$B$12))*(0.2)/LN(10/W_rad))</f>
        <v>0</v>
      </c>
      <c r="CV34" t="s">
        <v>51</v>
      </c>
      <c r="CW34" t="s">
        <v>49</v>
      </c>
      <c r="CX34" t="s">
        <v>49</v>
      </c>
      <c r="CY34" t="s">
        <v>49</v>
      </c>
      <c r="CZ34" t="s">
        <v>49</v>
      </c>
      <c r="DA34" t="s">
        <v>49</v>
      </c>
      <c r="DB34" t="s">
        <v>49</v>
      </c>
      <c r="DC34" t="s">
        <v>51</v>
      </c>
    </row>
    <row r="35" spans="1:107" x14ac:dyDescent="0.3">
      <c r="A35" s="59"/>
      <c r="B35" s="59">
        <v>-5.500000000000008</v>
      </c>
      <c r="C35" s="59">
        <f t="shared" si="0"/>
        <v>0</v>
      </c>
      <c r="D35" s="56"/>
      <c r="CU35">
        <f>(2*(C40/1440)*PI()*(IF(Input!$B$12=0,0.01,Input!$B$12))*(0.2)/LN(10/W_rad))</f>
        <v>0</v>
      </c>
      <c r="CV35" t="s">
        <v>49</v>
      </c>
      <c r="CW35" t="s">
        <v>49</v>
      </c>
      <c r="CX35" t="s">
        <v>49</v>
      </c>
      <c r="CY35" t="s">
        <v>49</v>
      </c>
      <c r="CZ35" t="s">
        <v>49</v>
      </c>
      <c r="DA35" t="s">
        <v>49</v>
      </c>
      <c r="DB35" t="s">
        <v>49</v>
      </c>
      <c r="DC35" t="s">
        <v>51</v>
      </c>
    </row>
    <row r="36" spans="1:107" x14ac:dyDescent="0.3">
      <c r="A36" s="59"/>
      <c r="B36" s="59">
        <v>-5.3000000000000078</v>
      </c>
      <c r="C36" s="59">
        <f t="shared" si="0"/>
        <v>0</v>
      </c>
      <c r="D36" s="56"/>
      <c r="CU36">
        <f>(2*(C41/1440)*PI()*(IF(Input!$B$12=0,0.01,Input!$B$12))*(0.2)/LN(10/W_rad))</f>
        <v>0</v>
      </c>
      <c r="CV36" t="s">
        <v>51</v>
      </c>
      <c r="CW36" t="s">
        <v>49</v>
      </c>
      <c r="CX36" t="s">
        <v>49</v>
      </c>
      <c r="CY36" t="s">
        <v>49</v>
      </c>
      <c r="CZ36" t="s">
        <v>49</v>
      </c>
      <c r="DA36" t="s">
        <v>49</v>
      </c>
      <c r="DB36" t="s">
        <v>49</v>
      </c>
      <c r="DC36" t="s">
        <v>49</v>
      </c>
    </row>
    <row r="37" spans="1:107" x14ac:dyDescent="0.3">
      <c r="A37" s="59"/>
      <c r="B37" s="59">
        <v>-5.1000000000000076</v>
      </c>
      <c r="C37" s="59">
        <f t="shared" si="0"/>
        <v>0</v>
      </c>
      <c r="D37" s="56"/>
      <c r="CU37">
        <f>(2*(C42/1440)*PI()*(IF(Input!$B$12=0,0.01,Input!$B$12))*(0.2)/LN(10/W_rad))</f>
        <v>0</v>
      </c>
      <c r="CV37" t="s">
        <v>49</v>
      </c>
      <c r="CW37" t="s">
        <v>49</v>
      </c>
      <c r="CX37" t="s">
        <v>49</v>
      </c>
      <c r="CY37" t="s">
        <v>49</v>
      </c>
      <c r="CZ37" t="s">
        <v>49</v>
      </c>
      <c r="DA37" t="s">
        <v>49</v>
      </c>
      <c r="DB37" t="s">
        <v>49</v>
      </c>
      <c r="DC37" t="s">
        <v>51</v>
      </c>
    </row>
    <row r="38" spans="1:107" x14ac:dyDescent="0.3">
      <c r="A38" s="59"/>
      <c r="B38" s="59">
        <v>-4.9000000000000075</v>
      </c>
      <c r="C38" s="59">
        <f t="shared" si="0"/>
        <v>0</v>
      </c>
      <c r="D38" s="56"/>
      <c r="CU38">
        <f>(2*(C43/1440)*PI()*(IF(Input!$B$12=0,0.01,Input!$B$12))*(0.2)/LN(10/W_rad))</f>
        <v>0</v>
      </c>
      <c r="CV38" t="s">
        <v>51</v>
      </c>
      <c r="CW38" t="s">
        <v>49</v>
      </c>
      <c r="CX38" t="s">
        <v>49</v>
      </c>
      <c r="CY38" t="s">
        <v>49</v>
      </c>
      <c r="CZ38" t="s">
        <v>49</v>
      </c>
      <c r="DA38" t="s">
        <v>49</v>
      </c>
      <c r="DB38" t="s">
        <v>49</v>
      </c>
      <c r="DC38" t="s">
        <v>51</v>
      </c>
    </row>
    <row r="39" spans="1:107" x14ac:dyDescent="0.3">
      <c r="A39" s="59"/>
      <c r="B39" s="59">
        <v>-4.7000000000000073</v>
      </c>
      <c r="C39" s="59">
        <f t="shared" ref="C39:C70" si="1">IF(A39="H",$B$2,IF(A39="M",$B$3,IF(A39="L",$B$4,0)))</f>
        <v>0</v>
      </c>
      <c r="D39" s="56"/>
      <c r="CU39">
        <f>(2*(C44/1440)*PI()*(IF(Input!$B$12=0,0.01,Input!$B$12))*(0.2)/LN(10/W_rad))</f>
        <v>0</v>
      </c>
      <c r="CV39" t="s">
        <v>49</v>
      </c>
      <c r="CW39" t="s">
        <v>49</v>
      </c>
      <c r="CX39" t="s">
        <v>49</v>
      </c>
      <c r="CY39" t="s">
        <v>49</v>
      </c>
      <c r="CZ39" t="s">
        <v>50</v>
      </c>
      <c r="DA39" t="s">
        <v>49</v>
      </c>
      <c r="DB39" t="s">
        <v>49</v>
      </c>
      <c r="DC39" t="s">
        <v>50</v>
      </c>
    </row>
    <row r="40" spans="1:107" x14ac:dyDescent="0.3">
      <c r="A40" s="59"/>
      <c r="B40" s="59">
        <v>-4.5000000000000071</v>
      </c>
      <c r="C40" s="59">
        <f t="shared" si="1"/>
        <v>0</v>
      </c>
      <c r="D40" s="56"/>
      <c r="CU40">
        <f>(2*(C45/1440)*PI()*(IF(Input!$B$12=0,0.01,Input!$B$12))*(0.2)/LN(10/W_rad))</f>
        <v>0</v>
      </c>
      <c r="CV40" t="s">
        <v>51</v>
      </c>
      <c r="CW40" t="s">
        <v>49</v>
      </c>
      <c r="CX40" t="s">
        <v>49</v>
      </c>
      <c r="CY40" t="s">
        <v>49</v>
      </c>
      <c r="CZ40" t="s">
        <v>50</v>
      </c>
      <c r="DA40" t="s">
        <v>49</v>
      </c>
      <c r="DB40" t="s">
        <v>49</v>
      </c>
      <c r="DC40" t="s">
        <v>49</v>
      </c>
    </row>
    <row r="41" spans="1:107" x14ac:dyDescent="0.3">
      <c r="A41" s="59"/>
      <c r="B41" s="59">
        <v>-4.3000000000000069</v>
      </c>
      <c r="C41" s="59">
        <f t="shared" si="1"/>
        <v>0</v>
      </c>
      <c r="D41" s="56"/>
      <c r="CU41">
        <f>(2*(C46/1440)*PI()*(IF(Input!$B$12=0,0.01,Input!$B$12))*(0.2)/LN(10/W_rad))</f>
        <v>0</v>
      </c>
      <c r="CV41" t="s">
        <v>49</v>
      </c>
      <c r="CW41" t="s">
        <v>49</v>
      </c>
      <c r="CX41" t="s">
        <v>49</v>
      </c>
      <c r="CY41" t="s">
        <v>49</v>
      </c>
      <c r="CZ41" t="s">
        <v>50</v>
      </c>
      <c r="DA41" t="s">
        <v>49</v>
      </c>
      <c r="DB41" t="s">
        <v>49</v>
      </c>
      <c r="DC41" t="s">
        <v>51</v>
      </c>
    </row>
    <row r="42" spans="1:107" x14ac:dyDescent="0.3">
      <c r="A42" s="59"/>
      <c r="B42" s="59">
        <v>-4.1000000000000068</v>
      </c>
      <c r="C42" s="59">
        <f t="shared" si="1"/>
        <v>0</v>
      </c>
      <c r="D42" s="56"/>
      <c r="CU42">
        <f>(2*(C47/1440)*PI()*(IF(Input!$B$12=0,0.01,Input!$B$12))*(0.2)/LN(10/W_rad))</f>
        <v>0</v>
      </c>
      <c r="CV42" t="s">
        <v>51</v>
      </c>
      <c r="CW42" t="s">
        <v>49</v>
      </c>
      <c r="CX42" t="s">
        <v>49</v>
      </c>
      <c r="CY42" t="s">
        <v>49</v>
      </c>
      <c r="CZ42" t="s">
        <v>50</v>
      </c>
      <c r="DA42" t="s">
        <v>49</v>
      </c>
      <c r="DB42" t="s">
        <v>49</v>
      </c>
      <c r="DC42" t="s">
        <v>51</v>
      </c>
    </row>
    <row r="43" spans="1:107" x14ac:dyDescent="0.3">
      <c r="A43" s="59"/>
      <c r="B43" s="59">
        <v>-3.9000000000000066</v>
      </c>
      <c r="C43" s="59">
        <f t="shared" si="1"/>
        <v>0</v>
      </c>
      <c r="D43" s="56"/>
      <c r="CU43">
        <f>(2*(C48/1440)*PI()*(IF(Input!$B$12=0,0.01,Input!$B$12))*(0.2)/LN(10/W_rad))</f>
        <v>0</v>
      </c>
      <c r="CV43" t="s">
        <v>49</v>
      </c>
      <c r="CW43" t="s">
        <v>49</v>
      </c>
      <c r="CX43" t="s">
        <v>49</v>
      </c>
      <c r="CY43" t="s">
        <v>49</v>
      </c>
      <c r="CZ43" t="s">
        <v>50</v>
      </c>
      <c r="DA43" t="s">
        <v>49</v>
      </c>
      <c r="DB43" t="s">
        <v>49</v>
      </c>
      <c r="DC43" t="s">
        <v>51</v>
      </c>
    </row>
    <row r="44" spans="1:107" x14ac:dyDescent="0.3">
      <c r="A44" s="59"/>
      <c r="B44" s="59">
        <v>-3.7000000000000064</v>
      </c>
      <c r="C44" s="59">
        <f t="shared" si="1"/>
        <v>0</v>
      </c>
      <c r="D44" s="56"/>
      <c r="CU44">
        <f>(2*(C49/1440)*PI()*(IF(Input!$B$12=0,0.01,Input!$B$12))*(0.2)/LN(10/W_rad))</f>
        <v>0</v>
      </c>
      <c r="CV44" t="s">
        <v>51</v>
      </c>
      <c r="CW44" t="s">
        <v>49</v>
      </c>
      <c r="CX44" t="s">
        <v>49</v>
      </c>
      <c r="CY44" t="s">
        <v>49</v>
      </c>
      <c r="CZ44" t="s">
        <v>49</v>
      </c>
      <c r="DA44" t="s">
        <v>49</v>
      </c>
      <c r="DB44" t="s">
        <v>49</v>
      </c>
      <c r="DC44" t="s">
        <v>50</v>
      </c>
    </row>
    <row r="45" spans="1:107" x14ac:dyDescent="0.3">
      <c r="A45" s="59"/>
      <c r="B45" s="59">
        <v>-3.5000000000000062</v>
      </c>
      <c r="C45" s="59">
        <f t="shared" si="1"/>
        <v>0</v>
      </c>
      <c r="D45" s="56"/>
      <c r="CU45">
        <f>(2*(C50/1440)*PI()*(IF(Input!$B$12=0,0.01,Input!$B$12))*(0.2)/LN(10/W_rad))</f>
        <v>0</v>
      </c>
      <c r="CV45" t="s">
        <v>49</v>
      </c>
      <c r="CW45" t="s">
        <v>49</v>
      </c>
      <c r="CX45" t="s">
        <v>49</v>
      </c>
      <c r="CY45" t="s">
        <v>49</v>
      </c>
      <c r="CZ45" t="s">
        <v>49</v>
      </c>
      <c r="DA45" t="s">
        <v>49</v>
      </c>
      <c r="DB45" t="s">
        <v>49</v>
      </c>
      <c r="DC45" t="s">
        <v>51</v>
      </c>
    </row>
    <row r="46" spans="1:107" x14ac:dyDescent="0.3">
      <c r="A46" s="59"/>
      <c r="B46" s="59">
        <v>-3.300000000000006</v>
      </c>
      <c r="C46" s="59">
        <f t="shared" si="1"/>
        <v>0</v>
      </c>
      <c r="D46" s="56"/>
      <c r="CU46">
        <f>(2*(C51/1440)*PI()*(IF(Input!$B$12=0,0.01,Input!$B$12))*(0.2)/LN(10/W_rad))</f>
        <v>0</v>
      </c>
      <c r="CV46" t="s">
        <v>51</v>
      </c>
      <c r="CW46" t="s">
        <v>49</v>
      </c>
      <c r="CX46" t="s">
        <v>49</v>
      </c>
      <c r="CY46" t="s">
        <v>50</v>
      </c>
      <c r="CZ46" t="s">
        <v>49</v>
      </c>
      <c r="DA46" t="s">
        <v>49</v>
      </c>
      <c r="DB46" t="s">
        <v>49</v>
      </c>
      <c r="DC46" t="s">
        <v>49</v>
      </c>
    </row>
    <row r="47" spans="1:107" x14ac:dyDescent="0.3">
      <c r="A47" s="59"/>
      <c r="B47" s="59">
        <v>-3.1000000000000059</v>
      </c>
      <c r="C47" s="59">
        <f t="shared" si="1"/>
        <v>0</v>
      </c>
      <c r="D47" s="56"/>
      <c r="CU47">
        <f>(2*(C52/1440)*PI()*(IF(Input!$B$12=0,0.01,Input!$B$12))*(0.2)/LN(10/W_rad))</f>
        <v>0</v>
      </c>
      <c r="CV47" t="s">
        <v>49</v>
      </c>
      <c r="CW47" t="s">
        <v>49</v>
      </c>
      <c r="CX47" t="s">
        <v>49</v>
      </c>
      <c r="CY47" t="s">
        <v>50</v>
      </c>
      <c r="CZ47" t="s">
        <v>49</v>
      </c>
      <c r="DA47" t="s">
        <v>49</v>
      </c>
      <c r="DB47" t="s">
        <v>49</v>
      </c>
      <c r="DC47" t="s">
        <v>50</v>
      </c>
    </row>
    <row r="48" spans="1:107" x14ac:dyDescent="0.3">
      <c r="A48" s="59"/>
      <c r="B48" s="59">
        <v>-2.9000000000000057</v>
      </c>
      <c r="C48" s="59">
        <f t="shared" si="1"/>
        <v>0</v>
      </c>
      <c r="D48" s="56"/>
      <c r="CU48">
        <f>(2*(C53/1440)*PI()*(IF(Input!$B$12=0,0.01,Input!$B$12))*(0.2)/LN(10/W_rad))</f>
        <v>0</v>
      </c>
      <c r="CV48" t="s">
        <v>51</v>
      </c>
      <c r="CW48" t="s">
        <v>49</v>
      </c>
      <c r="CX48" t="s">
        <v>49</v>
      </c>
      <c r="CY48" t="s">
        <v>50</v>
      </c>
      <c r="CZ48" t="s">
        <v>49</v>
      </c>
      <c r="DA48" t="s">
        <v>49</v>
      </c>
      <c r="DB48" t="s">
        <v>49</v>
      </c>
      <c r="DC48" t="s">
        <v>49</v>
      </c>
    </row>
    <row r="49" spans="1:107" x14ac:dyDescent="0.3">
      <c r="A49" s="59"/>
      <c r="B49" s="59">
        <v>-2.7000000000000055</v>
      </c>
      <c r="C49" s="59">
        <f t="shared" si="1"/>
        <v>0</v>
      </c>
      <c r="D49" s="56"/>
      <c r="CU49">
        <f>(2*(C54/1440)*PI()*(IF(Input!$B$12=0,0.01,Input!$B$12))*(0.2)/LN(10/W_rad))</f>
        <v>0</v>
      </c>
      <c r="CV49" t="s">
        <v>49</v>
      </c>
      <c r="CW49" t="s">
        <v>49</v>
      </c>
      <c r="CX49" t="s">
        <v>49</v>
      </c>
      <c r="CY49" t="s">
        <v>50</v>
      </c>
      <c r="CZ49" t="s">
        <v>49</v>
      </c>
      <c r="DA49" t="s">
        <v>49</v>
      </c>
      <c r="DB49" t="s">
        <v>49</v>
      </c>
      <c r="DC49" t="s">
        <v>51</v>
      </c>
    </row>
    <row r="50" spans="1:107" x14ac:dyDescent="0.3">
      <c r="A50" s="59"/>
      <c r="B50" s="59">
        <v>-2.5000000000000053</v>
      </c>
      <c r="C50" s="59">
        <f t="shared" si="1"/>
        <v>0</v>
      </c>
      <c r="D50" s="56"/>
      <c r="CU50">
        <f>(2*(C55/1440)*PI()*(IF(Input!$B$12=0,0.01,Input!$B$12))*(0.2)/LN(10/W_rad))</f>
        <v>0</v>
      </c>
      <c r="CV50" t="s">
        <v>51</v>
      </c>
      <c r="CW50" t="s">
        <v>49</v>
      </c>
      <c r="CX50" t="s">
        <v>49</v>
      </c>
      <c r="CY50" t="s">
        <v>50</v>
      </c>
      <c r="CZ50" t="s">
        <v>49</v>
      </c>
      <c r="DA50" t="s">
        <v>49</v>
      </c>
      <c r="DB50" t="s">
        <v>49</v>
      </c>
      <c r="DC50" t="s">
        <v>49</v>
      </c>
    </row>
    <row r="51" spans="1:107" x14ac:dyDescent="0.3">
      <c r="A51" s="59"/>
      <c r="B51" s="59">
        <v>-2.3000000000000052</v>
      </c>
      <c r="C51" s="59">
        <f t="shared" si="1"/>
        <v>0</v>
      </c>
      <c r="D51" s="56"/>
    </row>
    <row r="52" spans="1:107" x14ac:dyDescent="0.3">
      <c r="A52" s="59"/>
      <c r="B52" s="59">
        <v>-2.100000000000005</v>
      </c>
      <c r="C52" s="59">
        <f t="shared" si="1"/>
        <v>0</v>
      </c>
      <c r="D52" s="56"/>
    </row>
    <row r="53" spans="1:107" x14ac:dyDescent="0.3">
      <c r="A53" s="59"/>
      <c r="B53" s="59">
        <v>-1.900000000000005</v>
      </c>
      <c r="C53" s="59">
        <f t="shared" si="1"/>
        <v>0</v>
      </c>
      <c r="D53" s="56"/>
    </row>
    <row r="54" spans="1:107" x14ac:dyDescent="0.3">
      <c r="A54" s="59"/>
      <c r="B54" s="59">
        <v>-1.7000000000000051</v>
      </c>
      <c r="C54" s="59">
        <f t="shared" si="1"/>
        <v>0</v>
      </c>
      <c r="D54" s="56"/>
    </row>
    <row r="55" spans="1:107" x14ac:dyDescent="0.3">
      <c r="A55" s="59"/>
      <c r="B55" s="59">
        <v>-1.5000000000000051</v>
      </c>
      <c r="C55" s="59">
        <f t="shared" si="1"/>
        <v>0</v>
      </c>
      <c r="D55" s="56"/>
    </row>
    <row r="56" spans="1:107" x14ac:dyDescent="0.3">
      <c r="A56" s="59"/>
      <c r="B56" s="59">
        <v>-1.3000000000000052</v>
      </c>
      <c r="C56" s="59">
        <f t="shared" si="1"/>
        <v>0</v>
      </c>
      <c r="D56" s="56"/>
    </row>
    <row r="57" spans="1:107" x14ac:dyDescent="0.3">
      <c r="A57" s="59"/>
      <c r="B57" s="59">
        <v>-1.1000000000000052</v>
      </c>
      <c r="C57" s="59">
        <f t="shared" si="1"/>
        <v>0</v>
      </c>
      <c r="D57" s="56" t="s">
        <v>52</v>
      </c>
    </row>
    <row r="58" spans="1:107" x14ac:dyDescent="0.3">
      <c r="A58" s="59"/>
      <c r="B58" s="59">
        <v>-0.90000000000000524</v>
      </c>
      <c r="C58" s="59">
        <f t="shared" si="1"/>
        <v>0</v>
      </c>
      <c r="D58" s="56" t="s">
        <v>52</v>
      </c>
    </row>
    <row r="59" spans="1:107" x14ac:dyDescent="0.3">
      <c r="A59" s="59"/>
      <c r="B59" s="59">
        <v>-0.70000000000000528</v>
      </c>
      <c r="C59" s="59">
        <f t="shared" si="1"/>
        <v>0</v>
      </c>
      <c r="D59" s="56"/>
    </row>
    <row r="60" spans="1:107" x14ac:dyDescent="0.3">
      <c r="A60" s="59"/>
      <c r="B60" s="59">
        <v>-0.50000000000000533</v>
      </c>
      <c r="C60" s="59">
        <f t="shared" si="1"/>
        <v>0</v>
      </c>
      <c r="D60" s="56"/>
    </row>
    <row r="61" spans="1:107" x14ac:dyDescent="0.3">
      <c r="A61" s="59"/>
      <c r="B61" s="59">
        <v>-0.30000000000000532</v>
      </c>
      <c r="C61" s="59">
        <f t="shared" si="1"/>
        <v>0</v>
      </c>
      <c r="D61" s="56"/>
    </row>
    <row r="62" spans="1:107" ht="15" thickBot="1" x14ac:dyDescent="0.35">
      <c r="A62" s="59"/>
      <c r="B62" s="59">
        <v>-0.10000000000000531</v>
      </c>
      <c r="C62" s="59">
        <f t="shared" si="1"/>
        <v>0</v>
      </c>
      <c r="D62" s="56"/>
    </row>
    <row r="63" spans="1:107" x14ac:dyDescent="0.3">
      <c r="A63" s="59" t="s">
        <v>50</v>
      </c>
      <c r="B63" s="59">
        <v>9.9999999999994704E-2</v>
      </c>
      <c r="C63" s="63">
        <f t="shared" si="1"/>
        <v>0.19690755900656051</v>
      </c>
      <c r="D63" s="56"/>
    </row>
    <row r="64" spans="1:107" x14ac:dyDescent="0.3">
      <c r="A64" s="59" t="s">
        <v>50</v>
      </c>
      <c r="B64" s="59">
        <v>0.29999999999999472</v>
      </c>
      <c r="C64" s="62">
        <f t="shared" si="1"/>
        <v>0.19690755900656051</v>
      </c>
      <c r="D64" s="56"/>
    </row>
    <row r="65" spans="1:4" x14ac:dyDescent="0.3">
      <c r="A65" s="59" t="s">
        <v>50</v>
      </c>
      <c r="B65" s="59">
        <v>0.49999999999999473</v>
      </c>
      <c r="C65" s="62">
        <f t="shared" si="1"/>
        <v>0.19690755900656051</v>
      </c>
      <c r="D65" s="56"/>
    </row>
    <row r="66" spans="1:4" x14ac:dyDescent="0.3">
      <c r="A66" s="59" t="s">
        <v>50</v>
      </c>
      <c r="B66" s="59">
        <v>0.69999999999999474</v>
      </c>
      <c r="C66" s="62">
        <f t="shared" si="1"/>
        <v>0.19690755900656051</v>
      </c>
      <c r="D66" s="56"/>
    </row>
    <row r="67" spans="1:4" x14ac:dyDescent="0.3">
      <c r="A67" s="59" t="s">
        <v>50</v>
      </c>
      <c r="B67" s="59">
        <v>0.8999999999999948</v>
      </c>
      <c r="C67" s="62">
        <f t="shared" si="1"/>
        <v>0.19690755900656051</v>
      </c>
      <c r="D67" s="56"/>
    </row>
    <row r="68" spans="1:4" x14ac:dyDescent="0.3">
      <c r="A68" s="59" t="s">
        <v>49</v>
      </c>
      <c r="B68" s="59">
        <v>1.0999999999999948</v>
      </c>
      <c r="C68" s="62">
        <f t="shared" si="1"/>
        <v>1.9690755900656051E-3</v>
      </c>
      <c r="D68" s="56"/>
    </row>
    <row r="69" spans="1:4" x14ac:dyDescent="0.3">
      <c r="A69" s="59" t="s">
        <v>49</v>
      </c>
      <c r="B69" s="59">
        <v>1.2999999999999947</v>
      </c>
      <c r="C69" s="62">
        <f t="shared" si="1"/>
        <v>1.9690755900656051E-3</v>
      </c>
      <c r="D69" s="56"/>
    </row>
    <row r="70" spans="1:4" x14ac:dyDescent="0.3">
      <c r="A70" s="59" t="s">
        <v>49</v>
      </c>
      <c r="B70" s="59">
        <v>1.4999999999999947</v>
      </c>
      <c r="C70" s="62">
        <f t="shared" si="1"/>
        <v>1.9690755900656051E-3</v>
      </c>
      <c r="D70" s="56"/>
    </row>
    <row r="71" spans="1:4" x14ac:dyDescent="0.3">
      <c r="A71" s="59" t="s">
        <v>49</v>
      </c>
      <c r="B71" s="59">
        <v>1.6999999999999946</v>
      </c>
      <c r="C71" s="62">
        <f t="shared" ref="C71:C102" si="2">IF(A71="H",$B$2,IF(A71="M",$B$3,IF(A71="L",$B$4,0)))</f>
        <v>1.9690755900656051E-3</v>
      </c>
      <c r="D71" s="56"/>
    </row>
    <row r="72" spans="1:4" x14ac:dyDescent="0.3">
      <c r="A72" s="59" t="s">
        <v>49</v>
      </c>
      <c r="B72" s="59">
        <v>1.8999999999999946</v>
      </c>
      <c r="C72" s="62">
        <f t="shared" si="2"/>
        <v>1.9690755900656051E-3</v>
      </c>
      <c r="D72" s="56"/>
    </row>
    <row r="73" spans="1:4" x14ac:dyDescent="0.3">
      <c r="A73" s="59" t="s">
        <v>49</v>
      </c>
      <c r="B73" s="59">
        <v>2.0999999999999948</v>
      </c>
      <c r="C73" s="62">
        <f t="shared" si="2"/>
        <v>1.9690755900656051E-3</v>
      </c>
      <c r="D73" s="56"/>
    </row>
    <row r="74" spans="1:4" x14ac:dyDescent="0.3">
      <c r="A74" s="59" t="s">
        <v>49</v>
      </c>
      <c r="B74" s="59">
        <v>2.2999999999999949</v>
      </c>
      <c r="C74" s="62">
        <f t="shared" si="2"/>
        <v>1.9690755900656051E-3</v>
      </c>
      <c r="D74" s="56"/>
    </row>
    <row r="75" spans="1:4" x14ac:dyDescent="0.3">
      <c r="A75" s="59" t="s">
        <v>49</v>
      </c>
      <c r="B75" s="59">
        <v>2.4999999999999951</v>
      </c>
      <c r="C75" s="62">
        <f t="shared" si="2"/>
        <v>1.9690755900656051E-3</v>
      </c>
      <c r="D75" s="56"/>
    </row>
    <row r="76" spans="1:4" x14ac:dyDescent="0.3">
      <c r="A76" s="59" t="s">
        <v>49</v>
      </c>
      <c r="B76" s="59">
        <v>2.6999999999999953</v>
      </c>
      <c r="C76" s="62">
        <f t="shared" si="2"/>
        <v>1.9690755900656051E-3</v>
      </c>
      <c r="D76" s="56"/>
    </row>
    <row r="77" spans="1:4" x14ac:dyDescent="0.3">
      <c r="A77" s="59" t="s">
        <v>49</v>
      </c>
      <c r="B77" s="59">
        <v>2.8999999999999955</v>
      </c>
      <c r="C77" s="62">
        <f t="shared" si="2"/>
        <v>1.9690755900656051E-3</v>
      </c>
      <c r="D77" s="56"/>
    </row>
    <row r="78" spans="1:4" x14ac:dyDescent="0.3">
      <c r="A78" s="59" t="s">
        <v>49</v>
      </c>
      <c r="B78" s="59">
        <v>3.0999999999999956</v>
      </c>
      <c r="C78" s="62">
        <f t="shared" si="2"/>
        <v>1.9690755900656051E-3</v>
      </c>
      <c r="D78" s="56"/>
    </row>
    <row r="79" spans="1:4" x14ac:dyDescent="0.3">
      <c r="A79" s="59" t="s">
        <v>49</v>
      </c>
      <c r="B79" s="59">
        <v>3.2999999999999958</v>
      </c>
      <c r="C79" s="62">
        <f t="shared" si="2"/>
        <v>1.9690755900656051E-3</v>
      </c>
      <c r="D79" s="56"/>
    </row>
    <row r="80" spans="1:4" x14ac:dyDescent="0.3">
      <c r="A80" s="59" t="s">
        <v>49</v>
      </c>
      <c r="B80" s="59">
        <v>3.499999999999996</v>
      </c>
      <c r="C80" s="62">
        <f t="shared" si="2"/>
        <v>1.9690755900656051E-3</v>
      </c>
      <c r="D80" s="56"/>
    </row>
    <row r="81" spans="1:4" x14ac:dyDescent="0.3">
      <c r="A81" s="59" t="s">
        <v>49</v>
      </c>
      <c r="B81" s="59">
        <v>3.6999999999999962</v>
      </c>
      <c r="C81" s="62">
        <f t="shared" si="2"/>
        <v>1.9690755900656051E-3</v>
      </c>
      <c r="D81" s="56"/>
    </row>
    <row r="82" spans="1:4" x14ac:dyDescent="0.3">
      <c r="A82" s="59" t="s">
        <v>49</v>
      </c>
      <c r="B82" s="59">
        <v>3.8999999999999964</v>
      </c>
      <c r="C82" s="62">
        <f t="shared" si="2"/>
        <v>1.9690755900656051E-3</v>
      </c>
      <c r="D82" s="56"/>
    </row>
    <row r="83" spans="1:4" x14ac:dyDescent="0.3">
      <c r="A83" s="59" t="s">
        <v>49</v>
      </c>
      <c r="B83" s="59">
        <v>4.0999999999999961</v>
      </c>
      <c r="C83" s="62">
        <f t="shared" si="2"/>
        <v>1.9690755900656051E-3</v>
      </c>
      <c r="D83" s="56"/>
    </row>
    <row r="84" spans="1:4" x14ac:dyDescent="0.3">
      <c r="A84" s="59" t="s">
        <v>49</v>
      </c>
      <c r="B84" s="59">
        <v>4.2999999999999963</v>
      </c>
      <c r="C84" s="62">
        <f t="shared" si="2"/>
        <v>1.9690755900656051E-3</v>
      </c>
      <c r="D84" s="56"/>
    </row>
    <row r="85" spans="1:4" x14ac:dyDescent="0.3">
      <c r="A85" s="59" t="s">
        <v>49</v>
      </c>
      <c r="B85" s="59">
        <v>4.4999999999999964</v>
      </c>
      <c r="C85" s="62">
        <f t="shared" si="2"/>
        <v>1.9690755900656051E-3</v>
      </c>
      <c r="D85" s="56"/>
    </row>
    <row r="86" spans="1:4" x14ac:dyDescent="0.3">
      <c r="A86" s="59" t="s">
        <v>49</v>
      </c>
      <c r="B86" s="59">
        <v>4.6999999999999966</v>
      </c>
      <c r="C86" s="62">
        <f t="shared" si="2"/>
        <v>1.9690755900656051E-3</v>
      </c>
      <c r="D86" s="56"/>
    </row>
    <row r="87" spans="1:4" x14ac:dyDescent="0.3">
      <c r="A87" s="59" t="s">
        <v>49</v>
      </c>
      <c r="B87" s="59">
        <v>4.8999999999999968</v>
      </c>
      <c r="C87" s="62">
        <f t="shared" si="2"/>
        <v>1.9690755900656051E-3</v>
      </c>
      <c r="D87" s="56"/>
    </row>
    <row r="88" spans="1:4" x14ac:dyDescent="0.3">
      <c r="A88" s="59" t="s">
        <v>49</v>
      </c>
      <c r="B88" s="59">
        <v>5.099999999999997</v>
      </c>
      <c r="C88" s="62">
        <f t="shared" si="2"/>
        <v>1.9690755900656051E-3</v>
      </c>
      <c r="D88" s="56"/>
    </row>
    <row r="89" spans="1:4" x14ac:dyDescent="0.3">
      <c r="A89" s="59" t="s">
        <v>49</v>
      </c>
      <c r="B89" s="59">
        <v>5.2999999999999972</v>
      </c>
      <c r="C89" s="62">
        <f t="shared" si="2"/>
        <v>1.9690755900656051E-3</v>
      </c>
      <c r="D89" s="56"/>
    </row>
    <row r="90" spans="1:4" x14ac:dyDescent="0.3">
      <c r="A90" s="59" t="s">
        <v>49</v>
      </c>
      <c r="B90" s="59">
        <v>5.4999999999999973</v>
      </c>
      <c r="C90" s="62">
        <f t="shared" si="2"/>
        <v>1.9690755900656051E-3</v>
      </c>
      <c r="D90" s="56"/>
    </row>
    <row r="91" spans="1:4" x14ac:dyDescent="0.3">
      <c r="A91" s="59" t="s">
        <v>49</v>
      </c>
      <c r="B91" s="59">
        <v>5.6999999999999975</v>
      </c>
      <c r="C91" s="62">
        <f t="shared" si="2"/>
        <v>1.9690755900656051E-3</v>
      </c>
      <c r="D91" s="56"/>
    </row>
    <row r="92" spans="1:4" x14ac:dyDescent="0.3">
      <c r="A92" s="59" t="s">
        <v>49</v>
      </c>
      <c r="B92" s="59">
        <v>5.8999999999999977</v>
      </c>
      <c r="C92" s="62">
        <f t="shared" si="2"/>
        <v>1.9690755900656051E-3</v>
      </c>
      <c r="D92" s="56"/>
    </row>
    <row r="93" spans="1:4" x14ac:dyDescent="0.3">
      <c r="A93" s="59" t="s">
        <v>49</v>
      </c>
      <c r="B93" s="59">
        <v>6.0999999999999979</v>
      </c>
      <c r="C93" s="62">
        <f t="shared" si="2"/>
        <v>1.9690755900656051E-3</v>
      </c>
      <c r="D93" s="56"/>
    </row>
    <row r="94" spans="1:4" x14ac:dyDescent="0.3">
      <c r="A94" s="59" t="s">
        <v>49</v>
      </c>
      <c r="B94" s="59">
        <v>6.299999999999998</v>
      </c>
      <c r="C94" s="62">
        <f t="shared" si="2"/>
        <v>1.9690755900656051E-3</v>
      </c>
      <c r="D94" s="56"/>
    </row>
    <row r="95" spans="1:4" x14ac:dyDescent="0.3">
      <c r="A95" s="59" t="s">
        <v>49</v>
      </c>
      <c r="B95" s="59">
        <v>6.4999999999999982</v>
      </c>
      <c r="C95" s="62">
        <f t="shared" si="2"/>
        <v>1.9690755900656051E-3</v>
      </c>
      <c r="D95" s="56"/>
    </row>
    <row r="96" spans="1:4" x14ac:dyDescent="0.3">
      <c r="A96" s="59" t="s">
        <v>49</v>
      </c>
      <c r="B96" s="59">
        <v>6.6999999999999984</v>
      </c>
      <c r="C96" s="62">
        <f t="shared" si="2"/>
        <v>1.9690755900656051E-3</v>
      </c>
      <c r="D96" s="56"/>
    </row>
    <row r="97" spans="1:4" x14ac:dyDescent="0.3">
      <c r="A97" s="59" t="s">
        <v>49</v>
      </c>
      <c r="B97" s="59">
        <v>6.8999999999999986</v>
      </c>
      <c r="C97" s="62">
        <f t="shared" si="2"/>
        <v>1.9690755900656051E-3</v>
      </c>
      <c r="D97" s="56"/>
    </row>
    <row r="98" spans="1:4" x14ac:dyDescent="0.3">
      <c r="A98" s="59" t="s">
        <v>49</v>
      </c>
      <c r="B98" s="59">
        <v>7.0999999999999988</v>
      </c>
      <c r="C98" s="62">
        <f t="shared" si="2"/>
        <v>1.9690755900656051E-3</v>
      </c>
      <c r="D98" s="56"/>
    </row>
    <row r="99" spans="1:4" x14ac:dyDescent="0.3">
      <c r="A99" s="59" t="s">
        <v>49</v>
      </c>
      <c r="B99" s="59">
        <v>7.2999999999999989</v>
      </c>
      <c r="C99" s="62">
        <f t="shared" si="2"/>
        <v>1.9690755900656051E-3</v>
      </c>
      <c r="D99" s="56"/>
    </row>
    <row r="100" spans="1:4" x14ac:dyDescent="0.3">
      <c r="A100" s="59" t="s">
        <v>49</v>
      </c>
      <c r="B100" s="59">
        <v>7.4999999999999991</v>
      </c>
      <c r="C100" s="62">
        <f t="shared" si="2"/>
        <v>1.9690755900656051E-3</v>
      </c>
      <c r="D100" s="56"/>
    </row>
    <row r="101" spans="1:4" x14ac:dyDescent="0.3">
      <c r="A101" s="59" t="s">
        <v>49</v>
      </c>
      <c r="B101" s="59">
        <v>7.6999999999999993</v>
      </c>
      <c r="C101" s="62">
        <f t="shared" si="2"/>
        <v>1.9690755900656051E-3</v>
      </c>
      <c r="D101" s="56"/>
    </row>
    <row r="102" spans="1:4" x14ac:dyDescent="0.3">
      <c r="A102" s="59" t="s">
        <v>49</v>
      </c>
      <c r="B102" s="59">
        <v>7.8999999999999995</v>
      </c>
      <c r="C102" s="62">
        <f t="shared" si="2"/>
        <v>1.9690755900656051E-3</v>
      </c>
      <c r="D102" s="56"/>
    </row>
    <row r="103" spans="1:4" x14ac:dyDescent="0.3">
      <c r="A103" s="59" t="s">
        <v>49</v>
      </c>
      <c r="B103" s="59">
        <v>8.1</v>
      </c>
      <c r="C103" s="62">
        <f t="shared" ref="C103:C111" si="3">IF(A103="H",$B$2,IF(A103="M",$B$3,IF(A103="L",$B$4,0)))</f>
        <v>1.9690755900656051E-3</v>
      </c>
      <c r="D103" s="56"/>
    </row>
    <row r="104" spans="1:4" x14ac:dyDescent="0.3">
      <c r="A104" s="59" t="s">
        <v>49</v>
      </c>
      <c r="B104" s="59">
        <v>8.2999999999999989</v>
      </c>
      <c r="C104" s="62">
        <f t="shared" si="3"/>
        <v>1.9690755900656051E-3</v>
      </c>
      <c r="D104" s="56"/>
    </row>
    <row r="105" spans="1:4" x14ac:dyDescent="0.3">
      <c r="A105" s="59" t="s">
        <v>49</v>
      </c>
      <c r="B105" s="59">
        <v>8.4999999999999982</v>
      </c>
      <c r="C105" s="62">
        <f t="shared" si="3"/>
        <v>1.9690755900656051E-3</v>
      </c>
      <c r="D105" s="56"/>
    </row>
    <row r="106" spans="1:4" x14ac:dyDescent="0.3">
      <c r="A106" s="59" t="s">
        <v>49</v>
      </c>
      <c r="B106" s="59">
        <v>8.6999999999999975</v>
      </c>
      <c r="C106" s="62">
        <f t="shared" si="3"/>
        <v>1.9690755900656051E-3</v>
      </c>
      <c r="D106" s="56"/>
    </row>
    <row r="107" spans="1:4" x14ac:dyDescent="0.3">
      <c r="A107" s="59" t="s">
        <v>49</v>
      </c>
      <c r="B107" s="59">
        <v>8.8999999999999968</v>
      </c>
      <c r="C107" s="62">
        <f t="shared" si="3"/>
        <v>1.9690755900656051E-3</v>
      </c>
      <c r="D107" s="56"/>
    </row>
    <row r="108" spans="1:4" x14ac:dyDescent="0.3">
      <c r="A108" s="59" t="s">
        <v>49</v>
      </c>
      <c r="B108" s="59">
        <v>9.0999999999999961</v>
      </c>
      <c r="C108" s="62">
        <f t="shared" si="3"/>
        <v>1.9690755900656051E-3</v>
      </c>
      <c r="D108" s="56"/>
    </row>
    <row r="109" spans="1:4" x14ac:dyDescent="0.3">
      <c r="A109" s="59" t="s">
        <v>49</v>
      </c>
      <c r="B109" s="59">
        <v>9.2999999999999954</v>
      </c>
      <c r="C109" s="62">
        <f t="shared" si="3"/>
        <v>1.9690755900656051E-3</v>
      </c>
      <c r="D109" s="56"/>
    </row>
    <row r="110" spans="1:4" x14ac:dyDescent="0.3">
      <c r="A110" s="59" t="s">
        <v>49</v>
      </c>
      <c r="B110" s="59">
        <v>9.4999999999999947</v>
      </c>
      <c r="C110" s="62">
        <f t="shared" si="3"/>
        <v>1.9690755900656051E-3</v>
      </c>
      <c r="D110" s="56"/>
    </row>
    <row r="111" spans="1:4" ht="15" thickBot="1" x14ac:dyDescent="0.35">
      <c r="A111" s="59" t="s">
        <v>49</v>
      </c>
      <c r="B111" s="59">
        <v>9.699999999999994</v>
      </c>
      <c r="C111" s="61">
        <f t="shared" si="3"/>
        <v>1.9690755900656051E-3</v>
      </c>
      <c r="D111" s="56" t="s">
        <v>48</v>
      </c>
    </row>
    <row r="112" spans="1:4" x14ac:dyDescent="0.3">
      <c r="B112"/>
      <c r="C112"/>
    </row>
    <row r="113" spans="2:3" x14ac:dyDescent="0.3">
      <c r="B113"/>
      <c r="C113"/>
    </row>
    <row r="114" spans="2:3" x14ac:dyDescent="0.3">
      <c r="B114"/>
      <c r="C114"/>
    </row>
    <row r="115" spans="2:3" x14ac:dyDescent="0.3">
      <c r="B115"/>
      <c r="C115"/>
    </row>
    <row r="116" spans="2:3" x14ac:dyDescent="0.3">
      <c r="B116"/>
      <c r="C116"/>
    </row>
    <row r="117" spans="2:3" x14ac:dyDescent="0.3">
      <c r="B117"/>
      <c r="C117"/>
    </row>
    <row r="118" spans="2:3" x14ac:dyDescent="0.3">
      <c r="B118"/>
      <c r="C118"/>
    </row>
    <row r="119" spans="2:3" x14ac:dyDescent="0.3">
      <c r="B119"/>
      <c r="C119"/>
    </row>
    <row r="120" spans="2:3" x14ac:dyDescent="0.3">
      <c r="B120"/>
      <c r="C120"/>
    </row>
    <row r="121" spans="2:3" x14ac:dyDescent="0.3">
      <c r="B121"/>
      <c r="C121"/>
    </row>
    <row r="122" spans="2:3" x14ac:dyDescent="0.3">
      <c r="B122"/>
      <c r="C122"/>
    </row>
    <row r="123" spans="2:3" x14ac:dyDescent="0.3">
      <c r="B123"/>
      <c r="C123"/>
    </row>
    <row r="124" spans="2:3" x14ac:dyDescent="0.3">
      <c r="B124"/>
      <c r="C124"/>
    </row>
    <row r="125" spans="2:3" x14ac:dyDescent="0.3">
      <c r="B125"/>
      <c r="C125"/>
    </row>
    <row r="126" spans="2:3" x14ac:dyDescent="0.3">
      <c r="B126"/>
      <c r="C126"/>
    </row>
    <row r="127" spans="2:3" x14ac:dyDescent="0.3">
      <c r="B127"/>
      <c r="C127"/>
    </row>
    <row r="128" spans="2:3" x14ac:dyDescent="0.3">
      <c r="B128"/>
      <c r="C128"/>
    </row>
    <row r="129" spans="2:3" x14ac:dyDescent="0.3">
      <c r="B129"/>
      <c r="C129"/>
    </row>
    <row r="130" spans="2:3" x14ac:dyDescent="0.3">
      <c r="B130"/>
      <c r="C130"/>
    </row>
    <row r="131" spans="2:3" x14ac:dyDescent="0.3">
      <c r="B131"/>
      <c r="C131"/>
    </row>
    <row r="132" spans="2:3" x14ac:dyDescent="0.3">
      <c r="B132"/>
      <c r="C132"/>
    </row>
    <row r="133" spans="2:3" x14ac:dyDescent="0.3">
      <c r="B133"/>
      <c r="C133"/>
    </row>
    <row r="134" spans="2:3" x14ac:dyDescent="0.3">
      <c r="B134"/>
      <c r="C134"/>
    </row>
    <row r="135" spans="2:3" x14ac:dyDescent="0.3">
      <c r="B135"/>
      <c r="C135"/>
    </row>
    <row r="136" spans="2:3" x14ac:dyDescent="0.3">
      <c r="B136"/>
      <c r="C136"/>
    </row>
    <row r="137" spans="2:3" x14ac:dyDescent="0.3">
      <c r="B137"/>
      <c r="C137"/>
    </row>
    <row r="138" spans="2:3" x14ac:dyDescent="0.3">
      <c r="B138"/>
      <c r="C138"/>
    </row>
    <row r="139" spans="2:3" x14ac:dyDescent="0.3">
      <c r="B139"/>
      <c r="C139"/>
    </row>
    <row r="140" spans="2:3" x14ac:dyDescent="0.3">
      <c r="B140"/>
      <c r="C140"/>
    </row>
    <row r="141" spans="2:3" x14ac:dyDescent="0.3">
      <c r="B141"/>
      <c r="C141"/>
    </row>
    <row r="142" spans="2:3" x14ac:dyDescent="0.3">
      <c r="B142"/>
      <c r="C142"/>
    </row>
    <row r="143" spans="2:3" x14ac:dyDescent="0.3">
      <c r="B143"/>
      <c r="C143"/>
    </row>
    <row r="144" spans="2:3" x14ac:dyDescent="0.3">
      <c r="B144"/>
      <c r="C144"/>
    </row>
    <row r="145" spans="2:3" x14ac:dyDescent="0.3">
      <c r="B145"/>
      <c r="C145"/>
    </row>
    <row r="146" spans="2:3" x14ac:dyDescent="0.3">
      <c r="B146"/>
      <c r="C146"/>
    </row>
    <row r="147" spans="2:3" x14ac:dyDescent="0.3">
      <c r="B147"/>
      <c r="C147"/>
    </row>
    <row r="148" spans="2:3" x14ac:dyDescent="0.3">
      <c r="B148"/>
      <c r="C148"/>
    </row>
    <row r="149" spans="2:3" x14ac:dyDescent="0.3">
      <c r="B149"/>
      <c r="C149"/>
    </row>
    <row r="150" spans="2:3" x14ac:dyDescent="0.3">
      <c r="B150"/>
      <c r="C150"/>
    </row>
    <row r="151" spans="2:3" x14ac:dyDescent="0.3">
      <c r="B151"/>
      <c r="C151"/>
    </row>
    <row r="152" spans="2:3" x14ac:dyDescent="0.3">
      <c r="B152"/>
      <c r="C152"/>
    </row>
    <row r="153" spans="2:3" x14ac:dyDescent="0.3">
      <c r="B153"/>
      <c r="C153"/>
    </row>
    <row r="154" spans="2:3" x14ac:dyDescent="0.3">
      <c r="B154"/>
      <c r="C154"/>
    </row>
    <row r="155" spans="2:3" x14ac:dyDescent="0.3">
      <c r="B155"/>
      <c r="C155"/>
    </row>
    <row r="156" spans="2:3" x14ac:dyDescent="0.3">
      <c r="B156"/>
      <c r="C156"/>
    </row>
    <row r="157" spans="2:3" x14ac:dyDescent="0.3">
      <c r="B157"/>
      <c r="C157"/>
    </row>
    <row r="158" spans="2:3" x14ac:dyDescent="0.3">
      <c r="B158"/>
      <c r="C158"/>
    </row>
    <row r="159" spans="2:3" x14ac:dyDescent="0.3">
      <c r="B159"/>
      <c r="C159"/>
    </row>
    <row r="160" spans="2:3" x14ac:dyDescent="0.3">
      <c r="B160"/>
      <c r="C160"/>
    </row>
    <row r="161" spans="2:3" x14ac:dyDescent="0.3">
      <c r="B161"/>
      <c r="C161"/>
    </row>
    <row r="162" spans="2:3" x14ac:dyDescent="0.3">
      <c r="B162"/>
      <c r="C162"/>
    </row>
    <row r="163" spans="2:3" x14ac:dyDescent="0.3">
      <c r="B163"/>
      <c r="C163"/>
    </row>
    <row r="164" spans="2:3" x14ac:dyDescent="0.3">
      <c r="B164"/>
      <c r="C164"/>
    </row>
    <row r="165" spans="2:3" x14ac:dyDescent="0.3">
      <c r="B165"/>
      <c r="C165"/>
    </row>
    <row r="166" spans="2:3" x14ac:dyDescent="0.3">
      <c r="B166"/>
      <c r="C166"/>
    </row>
    <row r="167" spans="2:3" x14ac:dyDescent="0.3">
      <c r="B167"/>
      <c r="C167"/>
    </row>
    <row r="168" spans="2:3" x14ac:dyDescent="0.3">
      <c r="B168"/>
      <c r="C168"/>
    </row>
    <row r="169" spans="2:3" x14ac:dyDescent="0.3">
      <c r="B169"/>
      <c r="C169"/>
    </row>
    <row r="170" spans="2:3" x14ac:dyDescent="0.3">
      <c r="B170"/>
      <c r="C170"/>
    </row>
    <row r="171" spans="2:3" x14ac:dyDescent="0.3">
      <c r="B171"/>
      <c r="C171"/>
    </row>
    <row r="172" spans="2:3" x14ac:dyDescent="0.3">
      <c r="B172"/>
      <c r="C172"/>
    </row>
    <row r="173" spans="2:3" x14ac:dyDescent="0.3">
      <c r="B173"/>
      <c r="C173"/>
    </row>
    <row r="174" spans="2:3" x14ac:dyDescent="0.3">
      <c r="B174"/>
      <c r="C174"/>
    </row>
    <row r="175" spans="2:3" x14ac:dyDescent="0.3">
      <c r="B175"/>
      <c r="C175"/>
    </row>
    <row r="176" spans="2:3" x14ac:dyDescent="0.3">
      <c r="B176"/>
      <c r="C176"/>
    </row>
    <row r="177" spans="2:3" x14ac:dyDescent="0.3">
      <c r="B177"/>
      <c r="C177"/>
    </row>
    <row r="178" spans="2:3" x14ac:dyDescent="0.3">
      <c r="B178"/>
      <c r="C178"/>
    </row>
    <row r="179" spans="2:3" x14ac:dyDescent="0.3">
      <c r="B179"/>
      <c r="C179"/>
    </row>
    <row r="180" spans="2:3" x14ac:dyDescent="0.3">
      <c r="B180"/>
      <c r="C180"/>
    </row>
    <row r="181" spans="2:3" x14ac:dyDescent="0.3">
      <c r="B181"/>
      <c r="C181"/>
    </row>
    <row r="182" spans="2:3" x14ac:dyDescent="0.3">
      <c r="B182"/>
      <c r="C182"/>
    </row>
    <row r="183" spans="2:3" x14ac:dyDescent="0.3">
      <c r="B183"/>
      <c r="C183"/>
    </row>
    <row r="184" spans="2:3" x14ac:dyDescent="0.3">
      <c r="B184"/>
      <c r="C184"/>
    </row>
    <row r="185" spans="2:3" x14ac:dyDescent="0.3">
      <c r="B185"/>
      <c r="C185"/>
    </row>
    <row r="186" spans="2:3" x14ac:dyDescent="0.3">
      <c r="B186"/>
      <c r="C186"/>
    </row>
    <row r="187" spans="2:3" x14ac:dyDescent="0.3">
      <c r="B187"/>
      <c r="C187"/>
    </row>
    <row r="188" spans="2:3" x14ac:dyDescent="0.3">
      <c r="B188"/>
      <c r="C188"/>
    </row>
    <row r="189" spans="2:3" x14ac:dyDescent="0.3">
      <c r="B189"/>
      <c r="C189"/>
    </row>
    <row r="190" spans="2:3" x14ac:dyDescent="0.3">
      <c r="B190"/>
      <c r="C190"/>
    </row>
    <row r="191" spans="2:3" x14ac:dyDescent="0.3">
      <c r="B191"/>
      <c r="C191"/>
    </row>
    <row r="192" spans="2:3" x14ac:dyDescent="0.3">
      <c r="B192"/>
      <c r="C192"/>
    </row>
    <row r="193" spans="2:3" x14ac:dyDescent="0.3">
      <c r="B193"/>
      <c r="C193"/>
    </row>
    <row r="194" spans="2:3" x14ac:dyDescent="0.3">
      <c r="B194"/>
      <c r="C194"/>
    </row>
    <row r="195" spans="2:3" x14ac:dyDescent="0.3">
      <c r="B195"/>
      <c r="C195"/>
    </row>
    <row r="196" spans="2:3" x14ac:dyDescent="0.3">
      <c r="B196"/>
      <c r="C196"/>
    </row>
    <row r="197" spans="2:3" x14ac:dyDescent="0.3">
      <c r="B197"/>
      <c r="C197"/>
    </row>
    <row r="198" spans="2:3" x14ac:dyDescent="0.3">
      <c r="B198"/>
      <c r="C198"/>
    </row>
    <row r="199" spans="2:3" x14ac:dyDescent="0.3">
      <c r="B199"/>
      <c r="C199"/>
    </row>
    <row r="200" spans="2:3" x14ac:dyDescent="0.3">
      <c r="B200"/>
      <c r="C200"/>
    </row>
    <row r="201" spans="2:3" x14ac:dyDescent="0.3">
      <c r="B201"/>
      <c r="C201"/>
    </row>
    <row r="202" spans="2:3" x14ac:dyDescent="0.3">
      <c r="B202"/>
      <c r="C202"/>
    </row>
    <row r="203" spans="2:3" x14ac:dyDescent="0.3">
      <c r="B203"/>
      <c r="C203"/>
    </row>
    <row r="204" spans="2:3" x14ac:dyDescent="0.3">
      <c r="B204"/>
      <c r="C204"/>
    </row>
    <row r="205" spans="2:3" x14ac:dyDescent="0.3">
      <c r="B205"/>
      <c r="C205"/>
    </row>
    <row r="206" spans="2:3" x14ac:dyDescent="0.3">
      <c r="B206"/>
      <c r="C206"/>
    </row>
    <row r="207" spans="2:3" x14ac:dyDescent="0.3">
      <c r="B207"/>
      <c r="C207"/>
    </row>
    <row r="208" spans="2:3" x14ac:dyDescent="0.3">
      <c r="B208"/>
      <c r="C208"/>
    </row>
    <row r="209" spans="2:3" x14ac:dyDescent="0.3">
      <c r="B209"/>
      <c r="C209"/>
    </row>
    <row r="210" spans="2:3" x14ac:dyDescent="0.3">
      <c r="B210"/>
      <c r="C210"/>
    </row>
    <row r="211" spans="2:3" x14ac:dyDescent="0.3">
      <c r="B211"/>
      <c r="C211"/>
    </row>
    <row r="212" spans="2:3" x14ac:dyDescent="0.3">
      <c r="B212"/>
      <c r="C212"/>
    </row>
    <row r="213" spans="2:3" x14ac:dyDescent="0.3">
      <c r="B213"/>
      <c r="C213"/>
    </row>
    <row r="214" spans="2:3" x14ac:dyDescent="0.3">
      <c r="B214"/>
      <c r="C214"/>
    </row>
    <row r="215" spans="2:3" x14ac:dyDescent="0.3">
      <c r="B215"/>
      <c r="C215"/>
    </row>
    <row r="216" spans="2:3" x14ac:dyDescent="0.3">
      <c r="B216"/>
      <c r="C216"/>
    </row>
    <row r="217" spans="2:3" x14ac:dyDescent="0.3">
      <c r="B217"/>
      <c r="C217"/>
    </row>
    <row r="218" spans="2:3" x14ac:dyDescent="0.3">
      <c r="B218"/>
      <c r="C218"/>
    </row>
    <row r="219" spans="2:3" x14ac:dyDescent="0.3">
      <c r="B219"/>
      <c r="C219"/>
    </row>
    <row r="220" spans="2:3" x14ac:dyDescent="0.3">
      <c r="B220"/>
      <c r="C220"/>
    </row>
    <row r="221" spans="2:3" x14ac:dyDescent="0.3">
      <c r="B221"/>
      <c r="C221"/>
    </row>
    <row r="222" spans="2:3" x14ac:dyDescent="0.3">
      <c r="B222"/>
      <c r="C222"/>
    </row>
    <row r="223" spans="2:3" x14ac:dyDescent="0.3">
      <c r="B223"/>
      <c r="C223"/>
    </row>
    <row r="224" spans="2:3" x14ac:dyDescent="0.3">
      <c r="B224"/>
      <c r="C224"/>
    </row>
    <row r="225" spans="2:3" x14ac:dyDescent="0.3">
      <c r="B225"/>
      <c r="C225"/>
    </row>
    <row r="226" spans="2:3" x14ac:dyDescent="0.3">
      <c r="B226"/>
      <c r="C226"/>
    </row>
    <row r="227" spans="2:3" x14ac:dyDescent="0.3">
      <c r="B227"/>
      <c r="C227"/>
    </row>
    <row r="228" spans="2:3" x14ac:dyDescent="0.3">
      <c r="B228"/>
      <c r="C228"/>
    </row>
    <row r="229" spans="2:3" x14ac:dyDescent="0.3">
      <c r="B229"/>
      <c r="C229"/>
    </row>
    <row r="230" spans="2:3" x14ac:dyDescent="0.3">
      <c r="B230"/>
      <c r="C230"/>
    </row>
    <row r="231" spans="2:3" x14ac:dyDescent="0.3">
      <c r="B231"/>
      <c r="C231"/>
    </row>
    <row r="232" spans="2:3" x14ac:dyDescent="0.3">
      <c r="B232"/>
      <c r="C232"/>
    </row>
    <row r="233" spans="2:3" x14ac:dyDescent="0.3">
      <c r="B233"/>
      <c r="C233"/>
    </row>
    <row r="234" spans="2:3" x14ac:dyDescent="0.3">
      <c r="B234"/>
      <c r="C234"/>
    </row>
    <row r="235" spans="2:3" x14ac:dyDescent="0.3">
      <c r="B235"/>
      <c r="C235"/>
    </row>
    <row r="236" spans="2:3" x14ac:dyDescent="0.3">
      <c r="B236"/>
      <c r="C236"/>
    </row>
    <row r="237" spans="2:3" x14ac:dyDescent="0.3">
      <c r="B237"/>
      <c r="C237"/>
    </row>
    <row r="238" spans="2:3" x14ac:dyDescent="0.3">
      <c r="B238"/>
      <c r="C238"/>
    </row>
    <row r="239" spans="2:3" x14ac:dyDescent="0.3">
      <c r="B239"/>
      <c r="C239"/>
    </row>
    <row r="240" spans="2:3" x14ac:dyDescent="0.3">
      <c r="B240"/>
      <c r="C240"/>
    </row>
    <row r="241" spans="2:3" x14ac:dyDescent="0.3">
      <c r="B241"/>
      <c r="C241"/>
    </row>
    <row r="242" spans="2:3" x14ac:dyDescent="0.3">
      <c r="B242"/>
      <c r="C242"/>
    </row>
    <row r="243" spans="2:3" x14ac:dyDescent="0.3">
      <c r="B243"/>
      <c r="C243"/>
    </row>
    <row r="244" spans="2:3" x14ac:dyDescent="0.3">
      <c r="B244"/>
      <c r="C244"/>
    </row>
    <row r="245" spans="2:3" x14ac:dyDescent="0.3">
      <c r="B245"/>
      <c r="C245"/>
    </row>
    <row r="246" spans="2:3" x14ac:dyDescent="0.3">
      <c r="B246"/>
      <c r="C246"/>
    </row>
    <row r="247" spans="2:3" x14ac:dyDescent="0.3">
      <c r="B247"/>
      <c r="C247"/>
    </row>
    <row r="248" spans="2:3" x14ac:dyDescent="0.3">
      <c r="B248"/>
      <c r="C248"/>
    </row>
    <row r="249" spans="2:3" x14ac:dyDescent="0.3">
      <c r="B249"/>
      <c r="C249"/>
    </row>
    <row r="250" spans="2:3" x14ac:dyDescent="0.3">
      <c r="B250"/>
      <c r="C250"/>
    </row>
    <row r="251" spans="2:3" x14ac:dyDescent="0.3">
      <c r="B251"/>
      <c r="C251"/>
    </row>
    <row r="252" spans="2:3" x14ac:dyDescent="0.3">
      <c r="B252"/>
      <c r="C252"/>
    </row>
    <row r="253" spans="2:3" x14ac:dyDescent="0.3">
      <c r="B253"/>
      <c r="C253"/>
    </row>
    <row r="254" spans="2:3" x14ac:dyDescent="0.3">
      <c r="B254"/>
      <c r="C254"/>
    </row>
    <row r="255" spans="2:3" x14ac:dyDescent="0.3">
      <c r="B255"/>
      <c r="C255"/>
    </row>
    <row r="256" spans="2:3" x14ac:dyDescent="0.3">
      <c r="B256"/>
      <c r="C256"/>
    </row>
    <row r="257" spans="2:3" x14ac:dyDescent="0.3">
      <c r="B257"/>
      <c r="C257"/>
    </row>
    <row r="258" spans="2:3" x14ac:dyDescent="0.3">
      <c r="B258"/>
      <c r="C258"/>
    </row>
    <row r="259" spans="2:3" x14ac:dyDescent="0.3">
      <c r="B259"/>
      <c r="C259"/>
    </row>
    <row r="260" spans="2:3" x14ac:dyDescent="0.3">
      <c r="B260"/>
      <c r="C260"/>
    </row>
    <row r="261" spans="2:3" x14ac:dyDescent="0.3">
      <c r="B261"/>
      <c r="C261"/>
    </row>
    <row r="262" spans="2:3" x14ac:dyDescent="0.3">
      <c r="B262"/>
      <c r="C262"/>
    </row>
    <row r="263" spans="2:3" x14ac:dyDescent="0.3">
      <c r="B263"/>
      <c r="C263"/>
    </row>
    <row r="264" spans="2:3" x14ac:dyDescent="0.3">
      <c r="B264"/>
      <c r="C264"/>
    </row>
    <row r="265" spans="2:3" x14ac:dyDescent="0.3">
      <c r="B265"/>
      <c r="C265"/>
    </row>
    <row r="266" spans="2:3" x14ac:dyDescent="0.3">
      <c r="B266"/>
      <c r="C266"/>
    </row>
    <row r="267" spans="2:3" x14ac:dyDescent="0.3">
      <c r="B267"/>
      <c r="C267"/>
    </row>
    <row r="268" spans="2:3" x14ac:dyDescent="0.3">
      <c r="B268"/>
      <c r="C268"/>
    </row>
    <row r="269" spans="2:3" x14ac:dyDescent="0.3">
      <c r="B269"/>
      <c r="C269"/>
    </row>
    <row r="270" spans="2:3" x14ac:dyDescent="0.3">
      <c r="B270"/>
      <c r="C270"/>
    </row>
    <row r="271" spans="2:3" x14ac:dyDescent="0.3">
      <c r="B271"/>
      <c r="C271"/>
    </row>
    <row r="272" spans="2:3" x14ac:dyDescent="0.3">
      <c r="B272"/>
      <c r="C272"/>
    </row>
    <row r="273" spans="2:3" x14ac:dyDescent="0.3">
      <c r="B273"/>
      <c r="C273"/>
    </row>
    <row r="274" spans="2:3" x14ac:dyDescent="0.3">
      <c r="B274"/>
      <c r="C274"/>
    </row>
    <row r="275" spans="2:3" x14ac:dyDescent="0.3">
      <c r="B275"/>
      <c r="C275"/>
    </row>
    <row r="276" spans="2:3" x14ac:dyDescent="0.3">
      <c r="B276"/>
      <c r="C276"/>
    </row>
    <row r="277" spans="2:3" x14ac:dyDescent="0.3">
      <c r="B277"/>
      <c r="C277"/>
    </row>
    <row r="278" spans="2:3" x14ac:dyDescent="0.3">
      <c r="B278"/>
      <c r="C278"/>
    </row>
    <row r="279" spans="2:3" x14ac:dyDescent="0.3">
      <c r="B279"/>
      <c r="C279"/>
    </row>
    <row r="280" spans="2:3" x14ac:dyDescent="0.3">
      <c r="B280"/>
      <c r="C280"/>
    </row>
    <row r="281" spans="2:3" x14ac:dyDescent="0.3">
      <c r="B281"/>
      <c r="C281"/>
    </row>
    <row r="282" spans="2:3" x14ac:dyDescent="0.3">
      <c r="B282"/>
      <c r="C282"/>
    </row>
    <row r="283" spans="2:3" x14ac:dyDescent="0.3">
      <c r="B283"/>
      <c r="C283"/>
    </row>
    <row r="284" spans="2:3" x14ac:dyDescent="0.3">
      <c r="B284"/>
      <c r="C284"/>
    </row>
    <row r="285" spans="2:3" x14ac:dyDescent="0.3">
      <c r="B285"/>
      <c r="C285"/>
    </row>
    <row r="286" spans="2:3" x14ac:dyDescent="0.3">
      <c r="B286"/>
      <c r="C286"/>
    </row>
    <row r="287" spans="2:3" x14ac:dyDescent="0.3">
      <c r="B287"/>
      <c r="C287"/>
    </row>
    <row r="288" spans="2:3" x14ac:dyDescent="0.3">
      <c r="B288"/>
      <c r="C288"/>
    </row>
    <row r="289" spans="2:3" x14ac:dyDescent="0.3">
      <c r="B289"/>
      <c r="C289"/>
    </row>
    <row r="290" spans="2:3" x14ac:dyDescent="0.3">
      <c r="B290"/>
      <c r="C290"/>
    </row>
    <row r="291" spans="2:3" x14ac:dyDescent="0.3">
      <c r="B291"/>
      <c r="C291"/>
    </row>
    <row r="292" spans="2:3" x14ac:dyDescent="0.3">
      <c r="B292"/>
      <c r="C292"/>
    </row>
    <row r="293" spans="2:3" x14ac:dyDescent="0.3">
      <c r="B293"/>
      <c r="C293"/>
    </row>
    <row r="294" spans="2:3" x14ac:dyDescent="0.3">
      <c r="B294"/>
      <c r="C294"/>
    </row>
    <row r="295" spans="2:3" x14ac:dyDescent="0.3">
      <c r="B295"/>
      <c r="C295"/>
    </row>
    <row r="296" spans="2:3" x14ac:dyDescent="0.3">
      <c r="B296"/>
      <c r="C296"/>
    </row>
    <row r="297" spans="2:3" x14ac:dyDescent="0.3">
      <c r="B297"/>
      <c r="C297"/>
    </row>
    <row r="298" spans="2:3" x14ac:dyDescent="0.3">
      <c r="B298"/>
      <c r="C298"/>
    </row>
    <row r="299" spans="2:3" x14ac:dyDescent="0.3">
      <c r="B299"/>
      <c r="C299"/>
    </row>
    <row r="300" spans="2:3" x14ac:dyDescent="0.3">
      <c r="B300"/>
      <c r="C300"/>
    </row>
    <row r="301" spans="2:3" x14ac:dyDescent="0.3">
      <c r="B301"/>
      <c r="C301"/>
    </row>
    <row r="302" spans="2:3" x14ac:dyDescent="0.3">
      <c r="B302"/>
      <c r="C302"/>
    </row>
    <row r="303" spans="2:3" x14ac:dyDescent="0.3">
      <c r="B303"/>
      <c r="C303"/>
    </row>
    <row r="304" spans="2:3" x14ac:dyDescent="0.3">
      <c r="B304"/>
      <c r="C304"/>
    </row>
    <row r="305" spans="2:3" x14ac:dyDescent="0.3">
      <c r="B305"/>
      <c r="C305"/>
    </row>
    <row r="306" spans="2:3" x14ac:dyDescent="0.3">
      <c r="B306"/>
      <c r="C306"/>
    </row>
    <row r="307" spans="2:3" x14ac:dyDescent="0.3">
      <c r="B307"/>
      <c r="C307"/>
    </row>
    <row r="308" spans="2:3" x14ac:dyDescent="0.3">
      <c r="B308"/>
      <c r="C308"/>
    </row>
    <row r="309" spans="2:3" x14ac:dyDescent="0.3">
      <c r="B309"/>
      <c r="C309"/>
    </row>
    <row r="310" spans="2:3" x14ac:dyDescent="0.3">
      <c r="B310"/>
      <c r="C310"/>
    </row>
    <row r="311" spans="2:3" x14ac:dyDescent="0.3">
      <c r="B311"/>
      <c r="C311"/>
    </row>
    <row r="312" spans="2:3" x14ac:dyDescent="0.3">
      <c r="B312"/>
      <c r="C312"/>
    </row>
    <row r="313" spans="2:3" x14ac:dyDescent="0.3">
      <c r="B313"/>
      <c r="C313"/>
    </row>
    <row r="314" spans="2:3" x14ac:dyDescent="0.3">
      <c r="B314"/>
      <c r="C314"/>
    </row>
    <row r="315" spans="2:3" x14ac:dyDescent="0.3">
      <c r="B315"/>
      <c r="C315"/>
    </row>
    <row r="316" spans="2:3" x14ac:dyDescent="0.3">
      <c r="B316"/>
      <c r="C316"/>
    </row>
    <row r="317" spans="2:3" x14ac:dyDescent="0.3">
      <c r="B317"/>
      <c r="C317"/>
    </row>
    <row r="318" spans="2:3" x14ac:dyDescent="0.3">
      <c r="B318"/>
      <c r="C318"/>
    </row>
    <row r="319" spans="2:3" x14ac:dyDescent="0.3">
      <c r="B319"/>
      <c r="C319"/>
    </row>
    <row r="320" spans="2:3" x14ac:dyDescent="0.3">
      <c r="B320"/>
      <c r="C320"/>
    </row>
    <row r="321" spans="2:3" x14ac:dyDescent="0.3">
      <c r="B321"/>
      <c r="C321"/>
    </row>
    <row r="322" spans="2:3" x14ac:dyDescent="0.3">
      <c r="B322"/>
      <c r="C322"/>
    </row>
    <row r="323" spans="2:3" x14ac:dyDescent="0.3">
      <c r="B323"/>
      <c r="C323"/>
    </row>
    <row r="324" spans="2:3" x14ac:dyDescent="0.3">
      <c r="B324"/>
      <c r="C324"/>
    </row>
    <row r="325" spans="2:3" x14ac:dyDescent="0.3">
      <c r="B325"/>
      <c r="C325"/>
    </row>
    <row r="326" spans="2:3" x14ac:dyDescent="0.3">
      <c r="B326"/>
      <c r="C326"/>
    </row>
    <row r="327" spans="2:3" x14ac:dyDescent="0.3">
      <c r="B327"/>
      <c r="C327"/>
    </row>
    <row r="328" spans="2:3" x14ac:dyDescent="0.3">
      <c r="B328"/>
      <c r="C328"/>
    </row>
    <row r="329" spans="2:3" x14ac:dyDescent="0.3">
      <c r="B329"/>
      <c r="C329"/>
    </row>
    <row r="330" spans="2:3" x14ac:dyDescent="0.3">
      <c r="B330"/>
      <c r="C330"/>
    </row>
    <row r="331" spans="2:3" x14ac:dyDescent="0.3">
      <c r="B331"/>
      <c r="C331"/>
    </row>
    <row r="332" spans="2:3" x14ac:dyDescent="0.3">
      <c r="B332"/>
      <c r="C332"/>
    </row>
    <row r="333" spans="2:3" x14ac:dyDescent="0.3">
      <c r="B333"/>
      <c r="C333"/>
    </row>
    <row r="334" spans="2:3" x14ac:dyDescent="0.3">
      <c r="B334"/>
      <c r="C334"/>
    </row>
    <row r="335" spans="2:3" x14ac:dyDescent="0.3">
      <c r="B335"/>
      <c r="C335"/>
    </row>
    <row r="336" spans="2:3" x14ac:dyDescent="0.3">
      <c r="B336"/>
      <c r="C336"/>
    </row>
    <row r="337" spans="2:3" x14ac:dyDescent="0.3">
      <c r="B337"/>
      <c r="C337"/>
    </row>
    <row r="338" spans="2:3" x14ac:dyDescent="0.3">
      <c r="B338"/>
      <c r="C338"/>
    </row>
    <row r="339" spans="2:3" x14ac:dyDescent="0.3">
      <c r="B339"/>
      <c r="C339"/>
    </row>
    <row r="340" spans="2:3" x14ac:dyDescent="0.3">
      <c r="B340"/>
      <c r="C340"/>
    </row>
    <row r="341" spans="2:3" x14ac:dyDescent="0.3">
      <c r="B341"/>
      <c r="C341"/>
    </row>
    <row r="342" spans="2:3" x14ac:dyDescent="0.3">
      <c r="B342"/>
      <c r="C342"/>
    </row>
    <row r="343" spans="2:3" x14ac:dyDescent="0.3">
      <c r="B343"/>
      <c r="C343"/>
    </row>
    <row r="344" spans="2:3" x14ac:dyDescent="0.3">
      <c r="B344"/>
      <c r="C344"/>
    </row>
    <row r="345" spans="2:3" x14ac:dyDescent="0.3">
      <c r="B345"/>
      <c r="C345"/>
    </row>
    <row r="346" spans="2:3" x14ac:dyDescent="0.3">
      <c r="B346"/>
      <c r="C346"/>
    </row>
    <row r="347" spans="2:3" x14ac:dyDescent="0.3">
      <c r="B347"/>
      <c r="C347"/>
    </row>
    <row r="348" spans="2:3" x14ac:dyDescent="0.3">
      <c r="B348"/>
      <c r="C348"/>
    </row>
    <row r="349" spans="2:3" x14ac:dyDescent="0.3">
      <c r="B349"/>
      <c r="C349"/>
    </row>
    <row r="350" spans="2:3" x14ac:dyDescent="0.3">
      <c r="B350"/>
      <c r="C350"/>
    </row>
    <row r="351" spans="2:3" x14ac:dyDescent="0.3">
      <c r="B351"/>
      <c r="C351"/>
    </row>
    <row r="352" spans="2:3" x14ac:dyDescent="0.3">
      <c r="B352"/>
      <c r="C352"/>
    </row>
    <row r="353" spans="2:3" x14ac:dyDescent="0.3">
      <c r="B353"/>
      <c r="C353"/>
    </row>
    <row r="354" spans="2:3" x14ac:dyDescent="0.3">
      <c r="B354"/>
      <c r="C354"/>
    </row>
    <row r="355" spans="2:3" x14ac:dyDescent="0.3">
      <c r="B355"/>
      <c r="C355"/>
    </row>
    <row r="356" spans="2:3" x14ac:dyDescent="0.3">
      <c r="B356"/>
      <c r="C356"/>
    </row>
    <row r="357" spans="2:3" x14ac:dyDescent="0.3">
      <c r="B357"/>
      <c r="C357"/>
    </row>
    <row r="358" spans="2:3" x14ac:dyDescent="0.3">
      <c r="B358"/>
      <c r="C358"/>
    </row>
    <row r="359" spans="2:3" x14ac:dyDescent="0.3">
      <c r="B359"/>
      <c r="C359"/>
    </row>
    <row r="360" spans="2:3" x14ac:dyDescent="0.3">
      <c r="B360"/>
      <c r="C360"/>
    </row>
    <row r="361" spans="2:3" x14ac:dyDescent="0.3">
      <c r="B361"/>
      <c r="C361"/>
    </row>
    <row r="362" spans="2:3" x14ac:dyDescent="0.3">
      <c r="B362"/>
      <c r="C362"/>
    </row>
    <row r="363" spans="2:3" x14ac:dyDescent="0.3">
      <c r="B363"/>
      <c r="C363"/>
    </row>
    <row r="364" spans="2:3" x14ac:dyDescent="0.3">
      <c r="B364"/>
      <c r="C364"/>
    </row>
    <row r="365" spans="2:3" x14ac:dyDescent="0.3">
      <c r="B365"/>
      <c r="C365"/>
    </row>
    <row r="366" spans="2:3" x14ac:dyDescent="0.3">
      <c r="B366"/>
      <c r="C366"/>
    </row>
    <row r="367" spans="2:3" x14ac:dyDescent="0.3">
      <c r="B367"/>
      <c r="C367"/>
    </row>
    <row r="368" spans="2:3" x14ac:dyDescent="0.3">
      <c r="B368"/>
      <c r="C368"/>
    </row>
    <row r="369" spans="2:3" x14ac:dyDescent="0.3">
      <c r="B369"/>
      <c r="C369"/>
    </row>
    <row r="370" spans="2:3" x14ac:dyDescent="0.3">
      <c r="B370"/>
      <c r="C370"/>
    </row>
    <row r="371" spans="2:3" x14ac:dyDescent="0.3">
      <c r="B371"/>
      <c r="C371"/>
    </row>
    <row r="372" spans="2:3" x14ac:dyDescent="0.3">
      <c r="B372"/>
      <c r="C372"/>
    </row>
    <row r="373" spans="2:3" x14ac:dyDescent="0.3">
      <c r="B373"/>
      <c r="C373"/>
    </row>
    <row r="374" spans="2:3" x14ac:dyDescent="0.3">
      <c r="B374"/>
      <c r="C374"/>
    </row>
    <row r="375" spans="2:3" x14ac:dyDescent="0.3">
      <c r="B375"/>
      <c r="C375"/>
    </row>
    <row r="376" spans="2:3" x14ac:dyDescent="0.3">
      <c r="B376"/>
      <c r="C376"/>
    </row>
    <row r="377" spans="2:3" x14ac:dyDescent="0.3">
      <c r="B377"/>
      <c r="C377"/>
    </row>
    <row r="378" spans="2:3" x14ac:dyDescent="0.3">
      <c r="B378"/>
      <c r="C378"/>
    </row>
    <row r="379" spans="2:3" x14ac:dyDescent="0.3">
      <c r="B379"/>
      <c r="C379"/>
    </row>
    <row r="380" spans="2:3" x14ac:dyDescent="0.3">
      <c r="B380"/>
      <c r="C380"/>
    </row>
    <row r="381" spans="2:3" x14ac:dyDescent="0.3">
      <c r="B381"/>
      <c r="C381"/>
    </row>
    <row r="382" spans="2:3" x14ac:dyDescent="0.3">
      <c r="B382"/>
      <c r="C382"/>
    </row>
    <row r="383" spans="2:3" x14ac:dyDescent="0.3">
      <c r="B383"/>
      <c r="C383"/>
    </row>
    <row r="384" spans="2:3" x14ac:dyDescent="0.3">
      <c r="B384"/>
      <c r="C384"/>
    </row>
    <row r="385" spans="2:3" x14ac:dyDescent="0.3">
      <c r="B385"/>
      <c r="C385"/>
    </row>
    <row r="386" spans="2:3" x14ac:dyDescent="0.3">
      <c r="B386"/>
      <c r="C386"/>
    </row>
    <row r="387" spans="2:3" x14ac:dyDescent="0.3">
      <c r="B387"/>
      <c r="C387"/>
    </row>
    <row r="388" spans="2:3" x14ac:dyDescent="0.3">
      <c r="B388"/>
      <c r="C388"/>
    </row>
    <row r="389" spans="2:3" x14ac:dyDescent="0.3">
      <c r="B389"/>
      <c r="C389"/>
    </row>
    <row r="390" spans="2:3" x14ac:dyDescent="0.3">
      <c r="B390"/>
      <c r="C390"/>
    </row>
    <row r="391" spans="2:3" x14ac:dyDescent="0.3">
      <c r="B391"/>
      <c r="C391"/>
    </row>
    <row r="392" spans="2:3" x14ac:dyDescent="0.3">
      <c r="B392"/>
      <c r="C392"/>
    </row>
    <row r="393" spans="2:3" x14ac:dyDescent="0.3">
      <c r="B393"/>
      <c r="C393"/>
    </row>
    <row r="394" spans="2:3" x14ac:dyDescent="0.3">
      <c r="B394"/>
      <c r="C394"/>
    </row>
    <row r="395" spans="2:3" x14ac:dyDescent="0.3">
      <c r="B395"/>
      <c r="C395"/>
    </row>
    <row r="396" spans="2:3" x14ac:dyDescent="0.3">
      <c r="B396"/>
      <c r="C396"/>
    </row>
    <row r="397" spans="2:3" x14ac:dyDescent="0.3">
      <c r="B397"/>
      <c r="C397"/>
    </row>
    <row r="398" spans="2:3" x14ac:dyDescent="0.3">
      <c r="B398"/>
      <c r="C398"/>
    </row>
    <row r="399" spans="2:3" x14ac:dyDescent="0.3">
      <c r="B399"/>
      <c r="C399"/>
    </row>
    <row r="400" spans="2:3" x14ac:dyDescent="0.3">
      <c r="B400"/>
      <c r="C400"/>
    </row>
    <row r="401" spans="2:3" x14ac:dyDescent="0.3">
      <c r="B401"/>
      <c r="C401"/>
    </row>
    <row r="402" spans="2:3" x14ac:dyDescent="0.3">
      <c r="B402"/>
      <c r="C402"/>
    </row>
    <row r="403" spans="2:3" x14ac:dyDescent="0.3">
      <c r="B403"/>
      <c r="C403"/>
    </row>
    <row r="404" spans="2:3" x14ac:dyDescent="0.3">
      <c r="B404"/>
      <c r="C404"/>
    </row>
    <row r="405" spans="2:3" x14ac:dyDescent="0.3">
      <c r="B405"/>
      <c r="C405"/>
    </row>
    <row r="406" spans="2:3" x14ac:dyDescent="0.3">
      <c r="B406"/>
      <c r="C406"/>
    </row>
    <row r="407" spans="2:3" x14ac:dyDescent="0.3">
      <c r="B407"/>
      <c r="C407"/>
    </row>
    <row r="408" spans="2:3" x14ac:dyDescent="0.3">
      <c r="B408"/>
      <c r="C408"/>
    </row>
    <row r="409" spans="2:3" x14ac:dyDescent="0.3">
      <c r="B409"/>
      <c r="C409"/>
    </row>
    <row r="410" spans="2:3" x14ac:dyDescent="0.3">
      <c r="B410"/>
      <c r="C410"/>
    </row>
    <row r="411" spans="2:3" x14ac:dyDescent="0.3">
      <c r="B411"/>
      <c r="C411"/>
    </row>
    <row r="412" spans="2:3" x14ac:dyDescent="0.3">
      <c r="B412"/>
      <c r="C412"/>
    </row>
    <row r="413" spans="2:3" x14ac:dyDescent="0.3">
      <c r="B413"/>
      <c r="C413"/>
    </row>
    <row r="414" spans="2:3" x14ac:dyDescent="0.3">
      <c r="B414"/>
      <c r="C414"/>
    </row>
    <row r="415" spans="2:3" x14ac:dyDescent="0.3">
      <c r="B415"/>
      <c r="C415"/>
    </row>
    <row r="416" spans="2:3" x14ac:dyDescent="0.3">
      <c r="B416"/>
      <c r="C416"/>
    </row>
    <row r="417" spans="2:3" x14ac:dyDescent="0.3">
      <c r="B417"/>
      <c r="C417"/>
    </row>
    <row r="418" spans="2:3" x14ac:dyDescent="0.3">
      <c r="B418"/>
      <c r="C418"/>
    </row>
    <row r="419" spans="2:3" x14ac:dyDescent="0.3">
      <c r="B419"/>
      <c r="C419"/>
    </row>
    <row r="420" spans="2:3" x14ac:dyDescent="0.3">
      <c r="B420"/>
      <c r="C420"/>
    </row>
    <row r="421" spans="2:3" x14ac:dyDescent="0.3">
      <c r="B421"/>
      <c r="C421"/>
    </row>
    <row r="422" spans="2:3" x14ac:dyDescent="0.3">
      <c r="B422"/>
      <c r="C422"/>
    </row>
    <row r="423" spans="2:3" x14ac:dyDescent="0.3">
      <c r="B423"/>
      <c r="C423"/>
    </row>
    <row r="424" spans="2:3" x14ac:dyDescent="0.3">
      <c r="B424"/>
      <c r="C424"/>
    </row>
    <row r="425" spans="2:3" x14ac:dyDescent="0.3">
      <c r="B425"/>
      <c r="C425"/>
    </row>
    <row r="426" spans="2:3" x14ac:dyDescent="0.3">
      <c r="B426"/>
      <c r="C426"/>
    </row>
    <row r="427" spans="2:3" x14ac:dyDescent="0.3">
      <c r="B427"/>
      <c r="C427"/>
    </row>
    <row r="428" spans="2:3" x14ac:dyDescent="0.3">
      <c r="B428"/>
      <c r="C428"/>
    </row>
    <row r="429" spans="2:3" x14ac:dyDescent="0.3">
      <c r="B429"/>
      <c r="C429"/>
    </row>
    <row r="430" spans="2:3" x14ac:dyDescent="0.3">
      <c r="B430"/>
      <c r="C430"/>
    </row>
    <row r="431" spans="2:3" x14ac:dyDescent="0.3">
      <c r="B431"/>
      <c r="C431"/>
    </row>
    <row r="432" spans="2:3" x14ac:dyDescent="0.3">
      <c r="B432"/>
      <c r="C432"/>
    </row>
    <row r="433" spans="2:3" x14ac:dyDescent="0.3">
      <c r="B433"/>
      <c r="C433"/>
    </row>
    <row r="434" spans="2:3" x14ac:dyDescent="0.3">
      <c r="B434"/>
      <c r="C434"/>
    </row>
    <row r="435" spans="2:3" x14ac:dyDescent="0.3">
      <c r="B435"/>
      <c r="C435"/>
    </row>
    <row r="436" spans="2:3" x14ac:dyDescent="0.3">
      <c r="B436"/>
      <c r="C436"/>
    </row>
    <row r="437" spans="2:3" x14ac:dyDescent="0.3">
      <c r="B437"/>
      <c r="C437"/>
    </row>
    <row r="438" spans="2:3" x14ac:dyDescent="0.3">
      <c r="B438"/>
      <c r="C438"/>
    </row>
    <row r="439" spans="2:3" x14ac:dyDescent="0.3">
      <c r="B439"/>
      <c r="C439"/>
    </row>
    <row r="440" spans="2:3" x14ac:dyDescent="0.3">
      <c r="B440"/>
      <c r="C440"/>
    </row>
    <row r="441" spans="2:3" x14ac:dyDescent="0.3">
      <c r="B441"/>
      <c r="C441"/>
    </row>
    <row r="442" spans="2:3" x14ac:dyDescent="0.3">
      <c r="B442"/>
      <c r="C442"/>
    </row>
    <row r="443" spans="2:3" x14ac:dyDescent="0.3">
      <c r="B443"/>
      <c r="C443"/>
    </row>
    <row r="444" spans="2:3" x14ac:dyDescent="0.3">
      <c r="B444"/>
      <c r="C444"/>
    </row>
    <row r="445" spans="2:3" x14ac:dyDescent="0.3">
      <c r="B445"/>
      <c r="C445"/>
    </row>
    <row r="446" spans="2:3" x14ac:dyDescent="0.3">
      <c r="B446"/>
      <c r="C446"/>
    </row>
    <row r="447" spans="2:3" x14ac:dyDescent="0.3">
      <c r="B447"/>
      <c r="C447"/>
    </row>
    <row r="448" spans="2:3" x14ac:dyDescent="0.3">
      <c r="B448"/>
      <c r="C448"/>
    </row>
    <row r="449" spans="2:3" x14ac:dyDescent="0.3">
      <c r="B449"/>
      <c r="C449"/>
    </row>
    <row r="450" spans="2:3" x14ac:dyDescent="0.3">
      <c r="B450"/>
      <c r="C450"/>
    </row>
    <row r="451" spans="2:3" x14ac:dyDescent="0.3">
      <c r="B451"/>
      <c r="C451"/>
    </row>
    <row r="452" spans="2:3" x14ac:dyDescent="0.3">
      <c r="B452"/>
      <c r="C452"/>
    </row>
    <row r="453" spans="2:3" x14ac:dyDescent="0.3">
      <c r="B453"/>
      <c r="C453"/>
    </row>
    <row r="454" spans="2:3" x14ac:dyDescent="0.3">
      <c r="B454"/>
      <c r="C454"/>
    </row>
    <row r="455" spans="2:3" x14ac:dyDescent="0.3">
      <c r="B455"/>
      <c r="C455"/>
    </row>
    <row r="456" spans="2:3" x14ac:dyDescent="0.3">
      <c r="B456"/>
      <c r="C456"/>
    </row>
    <row r="457" spans="2:3" x14ac:dyDescent="0.3">
      <c r="B457"/>
      <c r="C457"/>
    </row>
    <row r="458" spans="2:3" x14ac:dyDescent="0.3">
      <c r="B458"/>
      <c r="C458"/>
    </row>
    <row r="459" spans="2:3" x14ac:dyDescent="0.3">
      <c r="B459"/>
      <c r="C459"/>
    </row>
    <row r="460" spans="2:3" x14ac:dyDescent="0.3">
      <c r="B460"/>
      <c r="C460"/>
    </row>
    <row r="461" spans="2:3" x14ac:dyDescent="0.3">
      <c r="B461"/>
      <c r="C461"/>
    </row>
    <row r="462" spans="2:3" x14ac:dyDescent="0.3">
      <c r="B462"/>
      <c r="C462"/>
    </row>
    <row r="463" spans="2:3" x14ac:dyDescent="0.3">
      <c r="B463"/>
      <c r="C463"/>
    </row>
    <row r="464" spans="2:3" x14ac:dyDescent="0.3">
      <c r="B464"/>
      <c r="C464"/>
    </row>
    <row r="465" spans="2:3" x14ac:dyDescent="0.3">
      <c r="B465"/>
      <c r="C465"/>
    </row>
    <row r="466" spans="2:3" x14ac:dyDescent="0.3">
      <c r="B466"/>
      <c r="C466"/>
    </row>
    <row r="467" spans="2:3" x14ac:dyDescent="0.3">
      <c r="B467"/>
      <c r="C467"/>
    </row>
    <row r="468" spans="2:3" x14ac:dyDescent="0.3">
      <c r="B468"/>
      <c r="C468"/>
    </row>
    <row r="469" spans="2:3" x14ac:dyDescent="0.3">
      <c r="B469"/>
      <c r="C469"/>
    </row>
    <row r="470" spans="2:3" x14ac:dyDescent="0.3">
      <c r="B470"/>
      <c r="C470"/>
    </row>
    <row r="471" spans="2:3" x14ac:dyDescent="0.3">
      <c r="B471"/>
      <c r="C471"/>
    </row>
    <row r="472" spans="2:3" x14ac:dyDescent="0.3">
      <c r="B472"/>
      <c r="C472"/>
    </row>
    <row r="473" spans="2:3" x14ac:dyDescent="0.3">
      <c r="B473"/>
      <c r="C473"/>
    </row>
    <row r="474" spans="2:3" x14ac:dyDescent="0.3">
      <c r="B474"/>
      <c r="C474"/>
    </row>
    <row r="475" spans="2:3" x14ac:dyDescent="0.3">
      <c r="B475"/>
      <c r="C475"/>
    </row>
    <row r="476" spans="2:3" x14ac:dyDescent="0.3">
      <c r="B476"/>
      <c r="C476"/>
    </row>
    <row r="477" spans="2:3" x14ac:dyDescent="0.3">
      <c r="B477"/>
      <c r="C477"/>
    </row>
    <row r="478" spans="2:3" x14ac:dyDescent="0.3">
      <c r="B478"/>
      <c r="C478"/>
    </row>
    <row r="479" spans="2:3" x14ac:dyDescent="0.3">
      <c r="B479"/>
      <c r="C479"/>
    </row>
    <row r="480" spans="2:3" x14ac:dyDescent="0.3">
      <c r="B480"/>
      <c r="C480"/>
    </row>
    <row r="481" spans="2:3" x14ac:dyDescent="0.3">
      <c r="B481"/>
      <c r="C481"/>
    </row>
    <row r="482" spans="2:3" x14ac:dyDescent="0.3">
      <c r="B482"/>
      <c r="C482"/>
    </row>
    <row r="483" spans="2:3" x14ac:dyDescent="0.3">
      <c r="B483"/>
      <c r="C483"/>
    </row>
    <row r="484" spans="2:3" x14ac:dyDescent="0.3">
      <c r="B484"/>
      <c r="C484"/>
    </row>
    <row r="485" spans="2:3" x14ac:dyDescent="0.3">
      <c r="B485"/>
      <c r="C485"/>
    </row>
    <row r="486" spans="2:3" x14ac:dyDescent="0.3">
      <c r="B486"/>
      <c r="C486"/>
    </row>
    <row r="487" spans="2:3" x14ac:dyDescent="0.3">
      <c r="B487"/>
      <c r="C487"/>
    </row>
    <row r="488" spans="2:3" x14ac:dyDescent="0.3">
      <c r="B488"/>
      <c r="C488"/>
    </row>
    <row r="489" spans="2:3" x14ac:dyDescent="0.3">
      <c r="B489"/>
      <c r="C489"/>
    </row>
    <row r="490" spans="2:3" x14ac:dyDescent="0.3">
      <c r="B490"/>
      <c r="C490"/>
    </row>
    <row r="491" spans="2:3" x14ac:dyDescent="0.3">
      <c r="B491"/>
      <c r="C491"/>
    </row>
    <row r="492" spans="2:3" x14ac:dyDescent="0.3">
      <c r="B492"/>
      <c r="C492"/>
    </row>
    <row r="493" spans="2:3" x14ac:dyDescent="0.3">
      <c r="B493"/>
      <c r="C493"/>
    </row>
    <row r="494" spans="2:3" x14ac:dyDescent="0.3">
      <c r="B494"/>
      <c r="C494"/>
    </row>
    <row r="495" spans="2:3" x14ac:dyDescent="0.3">
      <c r="B495"/>
      <c r="C495"/>
    </row>
    <row r="496" spans="2:3" x14ac:dyDescent="0.3">
      <c r="B496"/>
      <c r="C496"/>
    </row>
    <row r="497" spans="2:3" x14ac:dyDescent="0.3">
      <c r="B497"/>
      <c r="C497"/>
    </row>
    <row r="498" spans="2:3" x14ac:dyDescent="0.3">
      <c r="B498"/>
      <c r="C498"/>
    </row>
    <row r="499" spans="2:3" x14ac:dyDescent="0.3">
      <c r="B499"/>
      <c r="C499"/>
    </row>
    <row r="500" spans="2:3" x14ac:dyDescent="0.3">
      <c r="B500"/>
      <c r="C500"/>
    </row>
    <row r="501" spans="2:3" x14ac:dyDescent="0.3">
      <c r="B501"/>
      <c r="C501"/>
    </row>
    <row r="502" spans="2:3" x14ac:dyDescent="0.3">
      <c r="B502"/>
      <c r="C502"/>
    </row>
    <row r="503" spans="2:3" x14ac:dyDescent="0.3">
      <c r="B503"/>
      <c r="C503"/>
    </row>
    <row r="504" spans="2:3" x14ac:dyDescent="0.3">
      <c r="B504"/>
      <c r="C504"/>
    </row>
    <row r="505" spans="2:3" x14ac:dyDescent="0.3">
      <c r="B505"/>
      <c r="C505"/>
    </row>
    <row r="506" spans="2:3" x14ac:dyDescent="0.3">
      <c r="B506"/>
      <c r="C506"/>
    </row>
    <row r="507" spans="2:3" x14ac:dyDescent="0.3">
      <c r="B507"/>
      <c r="C507"/>
    </row>
    <row r="508" spans="2:3" x14ac:dyDescent="0.3">
      <c r="B508"/>
      <c r="C508"/>
    </row>
    <row r="509" spans="2:3" x14ac:dyDescent="0.3">
      <c r="B509"/>
      <c r="C509"/>
    </row>
    <row r="510" spans="2:3" x14ac:dyDescent="0.3">
      <c r="B510"/>
      <c r="C510"/>
    </row>
    <row r="511" spans="2:3" x14ac:dyDescent="0.3">
      <c r="B511"/>
      <c r="C511"/>
    </row>
    <row r="512" spans="2:3" x14ac:dyDescent="0.3">
      <c r="B512"/>
      <c r="C512"/>
    </row>
    <row r="513" spans="2:3" x14ac:dyDescent="0.3">
      <c r="B513"/>
      <c r="C513"/>
    </row>
    <row r="514" spans="2:3" x14ac:dyDescent="0.3">
      <c r="B514"/>
      <c r="C514"/>
    </row>
    <row r="515" spans="2:3" x14ac:dyDescent="0.3">
      <c r="B515"/>
      <c r="C515"/>
    </row>
    <row r="516" spans="2:3" x14ac:dyDescent="0.3">
      <c r="B516"/>
      <c r="C516"/>
    </row>
    <row r="517" spans="2:3" x14ac:dyDescent="0.3">
      <c r="B517"/>
      <c r="C517"/>
    </row>
    <row r="518" spans="2:3" x14ac:dyDescent="0.3">
      <c r="B518"/>
      <c r="C518"/>
    </row>
    <row r="519" spans="2:3" x14ac:dyDescent="0.3">
      <c r="B519"/>
      <c r="C519"/>
    </row>
    <row r="520" spans="2:3" x14ac:dyDescent="0.3">
      <c r="B520"/>
      <c r="C520"/>
    </row>
    <row r="521" spans="2:3" x14ac:dyDescent="0.3">
      <c r="B521"/>
      <c r="C521"/>
    </row>
    <row r="522" spans="2:3" x14ac:dyDescent="0.3">
      <c r="B522"/>
      <c r="C522"/>
    </row>
    <row r="523" spans="2:3" x14ac:dyDescent="0.3">
      <c r="B523"/>
      <c r="C523"/>
    </row>
    <row r="524" spans="2:3" x14ac:dyDescent="0.3">
      <c r="B524"/>
      <c r="C524"/>
    </row>
    <row r="525" spans="2:3" x14ac:dyDescent="0.3">
      <c r="B525"/>
      <c r="C525"/>
    </row>
    <row r="526" spans="2:3" x14ac:dyDescent="0.3">
      <c r="B526"/>
      <c r="C526"/>
    </row>
    <row r="527" spans="2:3" x14ac:dyDescent="0.3">
      <c r="B527"/>
      <c r="C527"/>
    </row>
    <row r="528" spans="2:3" x14ac:dyDescent="0.3">
      <c r="B528"/>
      <c r="C528"/>
    </row>
    <row r="529" spans="2:3" x14ac:dyDescent="0.3">
      <c r="B529"/>
      <c r="C529"/>
    </row>
    <row r="530" spans="2:3" x14ac:dyDescent="0.3">
      <c r="B530"/>
      <c r="C530"/>
    </row>
    <row r="531" spans="2:3" x14ac:dyDescent="0.3">
      <c r="B531"/>
      <c r="C531"/>
    </row>
    <row r="532" spans="2:3" x14ac:dyDescent="0.3">
      <c r="B532"/>
      <c r="C532"/>
    </row>
    <row r="533" spans="2:3" x14ac:dyDescent="0.3">
      <c r="B533"/>
      <c r="C533"/>
    </row>
    <row r="534" spans="2:3" x14ac:dyDescent="0.3">
      <c r="B534"/>
      <c r="C534"/>
    </row>
    <row r="535" spans="2:3" x14ac:dyDescent="0.3">
      <c r="B535"/>
      <c r="C535"/>
    </row>
    <row r="536" spans="2:3" x14ac:dyDescent="0.3">
      <c r="B536"/>
      <c r="C536"/>
    </row>
    <row r="537" spans="2:3" x14ac:dyDescent="0.3">
      <c r="B537"/>
      <c r="C537"/>
    </row>
    <row r="538" spans="2:3" x14ac:dyDescent="0.3">
      <c r="B538"/>
      <c r="C538"/>
    </row>
    <row r="539" spans="2:3" x14ac:dyDescent="0.3">
      <c r="B539"/>
      <c r="C539"/>
    </row>
    <row r="540" spans="2:3" x14ac:dyDescent="0.3">
      <c r="B540"/>
      <c r="C540"/>
    </row>
    <row r="541" spans="2:3" x14ac:dyDescent="0.3">
      <c r="B541"/>
      <c r="C541"/>
    </row>
    <row r="542" spans="2:3" x14ac:dyDescent="0.3">
      <c r="B542"/>
      <c r="C542"/>
    </row>
    <row r="543" spans="2:3" x14ac:dyDescent="0.3">
      <c r="B543"/>
      <c r="C543"/>
    </row>
    <row r="544" spans="2:3" x14ac:dyDescent="0.3">
      <c r="B544"/>
      <c r="C544"/>
    </row>
    <row r="545" spans="2:3" x14ac:dyDescent="0.3">
      <c r="B545"/>
      <c r="C545"/>
    </row>
    <row r="546" spans="2:3" x14ac:dyDescent="0.3">
      <c r="B546"/>
      <c r="C546"/>
    </row>
    <row r="547" spans="2:3" x14ac:dyDescent="0.3">
      <c r="B547"/>
      <c r="C547"/>
    </row>
    <row r="548" spans="2:3" x14ac:dyDescent="0.3">
      <c r="B548"/>
      <c r="C548"/>
    </row>
    <row r="549" spans="2:3" x14ac:dyDescent="0.3">
      <c r="B549"/>
      <c r="C549"/>
    </row>
    <row r="550" spans="2:3" x14ac:dyDescent="0.3">
      <c r="B550"/>
      <c r="C550"/>
    </row>
    <row r="551" spans="2:3" x14ac:dyDescent="0.3">
      <c r="B551"/>
      <c r="C551"/>
    </row>
    <row r="552" spans="2:3" x14ac:dyDescent="0.3">
      <c r="B552"/>
      <c r="C552"/>
    </row>
    <row r="553" spans="2:3" x14ac:dyDescent="0.3">
      <c r="B553"/>
      <c r="C553"/>
    </row>
    <row r="554" spans="2:3" x14ac:dyDescent="0.3">
      <c r="B554"/>
      <c r="C554"/>
    </row>
    <row r="555" spans="2:3" x14ac:dyDescent="0.3">
      <c r="B555"/>
      <c r="C555"/>
    </row>
    <row r="556" spans="2:3" x14ac:dyDescent="0.3">
      <c r="B556"/>
      <c r="C556"/>
    </row>
    <row r="557" spans="2:3" x14ac:dyDescent="0.3">
      <c r="B557"/>
      <c r="C557"/>
    </row>
    <row r="558" spans="2:3" x14ac:dyDescent="0.3">
      <c r="B558"/>
      <c r="C558"/>
    </row>
    <row r="559" spans="2:3" x14ac:dyDescent="0.3">
      <c r="B559"/>
      <c r="C559"/>
    </row>
    <row r="560" spans="2:3" x14ac:dyDescent="0.3">
      <c r="B560"/>
      <c r="C560"/>
    </row>
    <row r="561" spans="2:3" x14ac:dyDescent="0.3">
      <c r="B561"/>
      <c r="C561"/>
    </row>
    <row r="562" spans="2:3" x14ac:dyDescent="0.3">
      <c r="B562"/>
      <c r="C562"/>
    </row>
    <row r="563" spans="2:3" x14ac:dyDescent="0.3">
      <c r="B563"/>
      <c r="C563"/>
    </row>
    <row r="564" spans="2:3" x14ac:dyDescent="0.3">
      <c r="B564"/>
      <c r="C564"/>
    </row>
    <row r="565" spans="2:3" x14ac:dyDescent="0.3">
      <c r="B565"/>
      <c r="C565"/>
    </row>
    <row r="566" spans="2:3" x14ac:dyDescent="0.3">
      <c r="B566"/>
      <c r="C566"/>
    </row>
    <row r="567" spans="2:3" x14ac:dyDescent="0.3">
      <c r="B567"/>
      <c r="C567"/>
    </row>
    <row r="568" spans="2:3" x14ac:dyDescent="0.3">
      <c r="B568"/>
      <c r="C568"/>
    </row>
    <row r="569" spans="2:3" x14ac:dyDescent="0.3">
      <c r="B569"/>
      <c r="C569"/>
    </row>
    <row r="570" spans="2:3" x14ac:dyDescent="0.3">
      <c r="B570"/>
      <c r="C570"/>
    </row>
    <row r="571" spans="2:3" x14ac:dyDescent="0.3">
      <c r="B571"/>
      <c r="C571"/>
    </row>
    <row r="572" spans="2:3" x14ac:dyDescent="0.3">
      <c r="B572"/>
      <c r="C572"/>
    </row>
    <row r="573" spans="2:3" x14ac:dyDescent="0.3">
      <c r="B573"/>
      <c r="C573"/>
    </row>
    <row r="574" spans="2:3" x14ac:dyDescent="0.3">
      <c r="B574"/>
      <c r="C574"/>
    </row>
    <row r="575" spans="2:3" x14ac:dyDescent="0.3">
      <c r="B575"/>
      <c r="C575"/>
    </row>
    <row r="576" spans="2:3" x14ac:dyDescent="0.3">
      <c r="B576"/>
      <c r="C576"/>
    </row>
    <row r="577" spans="2:3" x14ac:dyDescent="0.3">
      <c r="B577"/>
      <c r="C577"/>
    </row>
    <row r="578" spans="2:3" x14ac:dyDescent="0.3">
      <c r="B578"/>
      <c r="C578"/>
    </row>
    <row r="579" spans="2:3" x14ac:dyDescent="0.3">
      <c r="B579"/>
      <c r="C579"/>
    </row>
    <row r="580" spans="2:3" x14ac:dyDescent="0.3">
      <c r="B580"/>
      <c r="C580"/>
    </row>
    <row r="581" spans="2:3" x14ac:dyDescent="0.3">
      <c r="B581"/>
      <c r="C581"/>
    </row>
    <row r="582" spans="2:3" x14ac:dyDescent="0.3">
      <c r="B582"/>
      <c r="C582"/>
    </row>
    <row r="583" spans="2:3" x14ac:dyDescent="0.3">
      <c r="B583"/>
      <c r="C583"/>
    </row>
    <row r="584" spans="2:3" x14ac:dyDescent="0.3">
      <c r="B584"/>
      <c r="C584"/>
    </row>
    <row r="585" spans="2:3" x14ac:dyDescent="0.3">
      <c r="B585"/>
      <c r="C585"/>
    </row>
    <row r="586" spans="2:3" x14ac:dyDescent="0.3">
      <c r="B586"/>
      <c r="C586"/>
    </row>
    <row r="587" spans="2:3" x14ac:dyDescent="0.3">
      <c r="B587"/>
      <c r="C587"/>
    </row>
    <row r="588" spans="2:3" x14ac:dyDescent="0.3">
      <c r="B588"/>
      <c r="C588"/>
    </row>
    <row r="589" spans="2:3" x14ac:dyDescent="0.3">
      <c r="B589"/>
      <c r="C589"/>
    </row>
    <row r="590" spans="2:3" x14ac:dyDescent="0.3">
      <c r="B590"/>
      <c r="C590"/>
    </row>
    <row r="591" spans="2:3" x14ac:dyDescent="0.3">
      <c r="B591"/>
      <c r="C591"/>
    </row>
    <row r="592" spans="2:3" x14ac:dyDescent="0.3">
      <c r="B592"/>
      <c r="C592"/>
    </row>
    <row r="593" spans="2:3" x14ac:dyDescent="0.3">
      <c r="B593"/>
      <c r="C593"/>
    </row>
    <row r="594" spans="2:3" x14ac:dyDescent="0.3">
      <c r="B594"/>
      <c r="C594"/>
    </row>
    <row r="595" spans="2:3" x14ac:dyDescent="0.3">
      <c r="B595"/>
      <c r="C595"/>
    </row>
    <row r="596" spans="2:3" x14ac:dyDescent="0.3">
      <c r="B596"/>
      <c r="C596"/>
    </row>
    <row r="597" spans="2:3" x14ac:dyDescent="0.3">
      <c r="B597"/>
      <c r="C597"/>
    </row>
    <row r="598" spans="2:3" x14ac:dyDescent="0.3">
      <c r="B598"/>
      <c r="C598"/>
    </row>
    <row r="599" spans="2:3" x14ac:dyDescent="0.3">
      <c r="B599"/>
      <c r="C599"/>
    </row>
    <row r="600" spans="2:3" x14ac:dyDescent="0.3">
      <c r="B600"/>
      <c r="C600"/>
    </row>
    <row r="601" spans="2:3" x14ac:dyDescent="0.3">
      <c r="B601"/>
      <c r="C601"/>
    </row>
    <row r="602" spans="2:3" x14ac:dyDescent="0.3">
      <c r="B602"/>
      <c r="C602"/>
    </row>
    <row r="603" spans="2:3" x14ac:dyDescent="0.3">
      <c r="B603"/>
      <c r="C603"/>
    </row>
    <row r="604" spans="2:3" x14ac:dyDescent="0.3">
      <c r="B604"/>
      <c r="C604"/>
    </row>
    <row r="605" spans="2:3" x14ac:dyDescent="0.3">
      <c r="B605"/>
      <c r="C605"/>
    </row>
    <row r="606" spans="2:3" x14ac:dyDescent="0.3">
      <c r="B606"/>
      <c r="C606"/>
    </row>
    <row r="607" spans="2:3" x14ac:dyDescent="0.3">
      <c r="B607"/>
      <c r="C607"/>
    </row>
    <row r="608" spans="2:3" x14ac:dyDescent="0.3">
      <c r="B608"/>
      <c r="C608"/>
    </row>
    <row r="609" spans="2:3" x14ac:dyDescent="0.3">
      <c r="B609"/>
      <c r="C609"/>
    </row>
    <row r="610" spans="2:3" x14ac:dyDescent="0.3">
      <c r="B610"/>
      <c r="C610"/>
    </row>
    <row r="611" spans="2:3" x14ac:dyDescent="0.3">
      <c r="B611"/>
      <c r="C611"/>
    </row>
    <row r="612" spans="2:3" x14ac:dyDescent="0.3">
      <c r="B612"/>
      <c r="C612"/>
    </row>
    <row r="613" spans="2:3" x14ac:dyDescent="0.3">
      <c r="B613"/>
      <c r="C613"/>
    </row>
    <row r="614" spans="2:3" x14ac:dyDescent="0.3">
      <c r="B614"/>
      <c r="C614"/>
    </row>
    <row r="615" spans="2:3" x14ac:dyDescent="0.3">
      <c r="B615"/>
      <c r="C615"/>
    </row>
    <row r="616" spans="2:3" x14ac:dyDescent="0.3">
      <c r="B616"/>
      <c r="C616"/>
    </row>
    <row r="617" spans="2:3" x14ac:dyDescent="0.3">
      <c r="B617"/>
      <c r="C617"/>
    </row>
    <row r="618" spans="2:3" x14ac:dyDescent="0.3">
      <c r="B618"/>
      <c r="C618"/>
    </row>
    <row r="619" spans="2:3" x14ac:dyDescent="0.3">
      <c r="B619"/>
      <c r="C619"/>
    </row>
    <row r="620" spans="2:3" x14ac:dyDescent="0.3">
      <c r="B620"/>
      <c r="C620"/>
    </row>
    <row r="621" spans="2:3" x14ac:dyDescent="0.3">
      <c r="B621"/>
      <c r="C621"/>
    </row>
    <row r="622" spans="2:3" x14ac:dyDescent="0.3">
      <c r="B622"/>
      <c r="C622"/>
    </row>
    <row r="623" spans="2:3" x14ac:dyDescent="0.3">
      <c r="B623"/>
      <c r="C623"/>
    </row>
    <row r="624" spans="2:3" x14ac:dyDescent="0.3">
      <c r="B624"/>
      <c r="C624"/>
    </row>
    <row r="625" spans="2:3" x14ac:dyDescent="0.3">
      <c r="B625"/>
      <c r="C625"/>
    </row>
    <row r="626" spans="2:3" x14ac:dyDescent="0.3">
      <c r="B626"/>
      <c r="C626"/>
    </row>
    <row r="627" spans="2:3" x14ac:dyDescent="0.3">
      <c r="B627"/>
      <c r="C627"/>
    </row>
    <row r="628" spans="2:3" x14ac:dyDescent="0.3">
      <c r="B628"/>
      <c r="C628"/>
    </row>
    <row r="629" spans="2:3" x14ac:dyDescent="0.3">
      <c r="B629"/>
      <c r="C629"/>
    </row>
    <row r="630" spans="2:3" x14ac:dyDescent="0.3">
      <c r="B630"/>
      <c r="C630"/>
    </row>
    <row r="631" spans="2:3" x14ac:dyDescent="0.3">
      <c r="B631"/>
      <c r="C631"/>
    </row>
    <row r="632" spans="2:3" x14ac:dyDescent="0.3">
      <c r="B632"/>
      <c r="C632"/>
    </row>
    <row r="633" spans="2:3" x14ac:dyDescent="0.3">
      <c r="B633"/>
      <c r="C633"/>
    </row>
    <row r="634" spans="2:3" x14ac:dyDescent="0.3">
      <c r="B634"/>
      <c r="C634"/>
    </row>
    <row r="635" spans="2:3" x14ac:dyDescent="0.3">
      <c r="B635"/>
      <c r="C635"/>
    </row>
    <row r="636" spans="2:3" x14ac:dyDescent="0.3">
      <c r="B636"/>
      <c r="C636"/>
    </row>
    <row r="637" spans="2:3" x14ac:dyDescent="0.3">
      <c r="B637"/>
      <c r="C637"/>
    </row>
    <row r="638" spans="2:3" x14ac:dyDescent="0.3">
      <c r="B638"/>
      <c r="C638"/>
    </row>
    <row r="639" spans="2:3" x14ac:dyDescent="0.3">
      <c r="B639"/>
      <c r="C639"/>
    </row>
    <row r="640" spans="2:3" x14ac:dyDescent="0.3">
      <c r="B640"/>
      <c r="C640"/>
    </row>
    <row r="641" spans="2:3" x14ac:dyDescent="0.3">
      <c r="B641"/>
      <c r="C641"/>
    </row>
    <row r="642" spans="2:3" x14ac:dyDescent="0.3">
      <c r="B642"/>
      <c r="C642"/>
    </row>
    <row r="643" spans="2:3" x14ac:dyDescent="0.3">
      <c r="B643"/>
      <c r="C643"/>
    </row>
    <row r="644" spans="2:3" x14ac:dyDescent="0.3">
      <c r="B644"/>
      <c r="C644"/>
    </row>
    <row r="645" spans="2:3" x14ac:dyDescent="0.3">
      <c r="B645"/>
      <c r="C645"/>
    </row>
    <row r="646" spans="2:3" x14ac:dyDescent="0.3">
      <c r="B646"/>
      <c r="C646"/>
    </row>
    <row r="647" spans="2:3" x14ac:dyDescent="0.3">
      <c r="B647"/>
      <c r="C647"/>
    </row>
    <row r="648" spans="2:3" x14ac:dyDescent="0.3">
      <c r="B648"/>
      <c r="C648"/>
    </row>
    <row r="649" spans="2:3" x14ac:dyDescent="0.3">
      <c r="B649"/>
      <c r="C649"/>
    </row>
    <row r="650" spans="2:3" x14ac:dyDescent="0.3">
      <c r="B650"/>
      <c r="C650"/>
    </row>
    <row r="651" spans="2:3" x14ac:dyDescent="0.3">
      <c r="B651"/>
      <c r="C651"/>
    </row>
    <row r="652" spans="2:3" x14ac:dyDescent="0.3">
      <c r="B652"/>
      <c r="C652"/>
    </row>
    <row r="653" spans="2:3" x14ac:dyDescent="0.3">
      <c r="B653"/>
      <c r="C653"/>
    </row>
    <row r="654" spans="2:3" x14ac:dyDescent="0.3">
      <c r="B654"/>
      <c r="C654"/>
    </row>
    <row r="655" spans="2:3" x14ac:dyDescent="0.3">
      <c r="B655"/>
      <c r="C655"/>
    </row>
    <row r="656" spans="2:3" x14ac:dyDescent="0.3">
      <c r="B656"/>
      <c r="C656"/>
    </row>
    <row r="657" spans="2:3" x14ac:dyDescent="0.3">
      <c r="B657"/>
      <c r="C657"/>
    </row>
    <row r="658" spans="2:3" x14ac:dyDescent="0.3">
      <c r="B658"/>
      <c r="C658"/>
    </row>
    <row r="659" spans="2:3" x14ac:dyDescent="0.3">
      <c r="B659"/>
      <c r="C659"/>
    </row>
    <row r="660" spans="2:3" x14ac:dyDescent="0.3">
      <c r="B660"/>
      <c r="C660"/>
    </row>
    <row r="661" spans="2:3" x14ac:dyDescent="0.3">
      <c r="B661"/>
      <c r="C661"/>
    </row>
    <row r="662" spans="2:3" x14ac:dyDescent="0.3">
      <c r="B662"/>
      <c r="C662"/>
    </row>
    <row r="663" spans="2:3" x14ac:dyDescent="0.3">
      <c r="B663"/>
      <c r="C663"/>
    </row>
    <row r="664" spans="2:3" x14ac:dyDescent="0.3">
      <c r="B664"/>
      <c r="C664"/>
    </row>
    <row r="665" spans="2:3" x14ac:dyDescent="0.3">
      <c r="B665"/>
      <c r="C665"/>
    </row>
    <row r="666" spans="2:3" x14ac:dyDescent="0.3">
      <c r="B666"/>
      <c r="C666"/>
    </row>
    <row r="667" spans="2:3" x14ac:dyDescent="0.3">
      <c r="B667"/>
      <c r="C667"/>
    </row>
    <row r="668" spans="2:3" x14ac:dyDescent="0.3">
      <c r="B668"/>
      <c r="C668"/>
    </row>
    <row r="669" spans="2:3" x14ac:dyDescent="0.3">
      <c r="B669"/>
      <c r="C669"/>
    </row>
    <row r="670" spans="2:3" x14ac:dyDescent="0.3">
      <c r="B670"/>
      <c r="C670"/>
    </row>
    <row r="671" spans="2:3" x14ac:dyDescent="0.3">
      <c r="B671"/>
      <c r="C671"/>
    </row>
    <row r="672" spans="2:3" x14ac:dyDescent="0.3">
      <c r="B672"/>
      <c r="C672"/>
    </row>
    <row r="673" spans="2:3" x14ac:dyDescent="0.3">
      <c r="B673"/>
      <c r="C673"/>
    </row>
    <row r="674" spans="2:3" x14ac:dyDescent="0.3">
      <c r="B674"/>
      <c r="C674"/>
    </row>
    <row r="675" spans="2:3" x14ac:dyDescent="0.3">
      <c r="B675"/>
      <c r="C675"/>
    </row>
    <row r="676" spans="2:3" x14ac:dyDescent="0.3">
      <c r="B676"/>
      <c r="C676"/>
    </row>
    <row r="677" spans="2:3" x14ac:dyDescent="0.3">
      <c r="B677"/>
      <c r="C677"/>
    </row>
    <row r="678" spans="2:3" x14ac:dyDescent="0.3">
      <c r="B678"/>
      <c r="C678"/>
    </row>
    <row r="679" spans="2:3" x14ac:dyDescent="0.3">
      <c r="B679"/>
      <c r="C679"/>
    </row>
    <row r="680" spans="2:3" x14ac:dyDescent="0.3">
      <c r="B680"/>
      <c r="C680"/>
    </row>
    <row r="681" spans="2:3" x14ac:dyDescent="0.3">
      <c r="B681"/>
      <c r="C681"/>
    </row>
    <row r="682" spans="2:3" x14ac:dyDescent="0.3">
      <c r="B682"/>
      <c r="C682"/>
    </row>
    <row r="683" spans="2:3" x14ac:dyDescent="0.3">
      <c r="B683"/>
      <c r="C683"/>
    </row>
    <row r="684" spans="2:3" x14ac:dyDescent="0.3">
      <c r="B684"/>
      <c r="C684"/>
    </row>
    <row r="685" spans="2:3" x14ac:dyDescent="0.3">
      <c r="B685"/>
      <c r="C685"/>
    </row>
    <row r="686" spans="2:3" x14ac:dyDescent="0.3">
      <c r="B686"/>
      <c r="C686"/>
    </row>
    <row r="687" spans="2:3" x14ac:dyDescent="0.3">
      <c r="B687"/>
      <c r="C687"/>
    </row>
    <row r="688" spans="2:3" x14ac:dyDescent="0.3">
      <c r="B688"/>
      <c r="C688"/>
    </row>
    <row r="689" spans="2:3" x14ac:dyDescent="0.3">
      <c r="B689"/>
      <c r="C689"/>
    </row>
    <row r="690" spans="2:3" x14ac:dyDescent="0.3">
      <c r="B690"/>
      <c r="C690"/>
    </row>
    <row r="691" spans="2:3" x14ac:dyDescent="0.3">
      <c r="B691"/>
      <c r="C691"/>
    </row>
    <row r="692" spans="2:3" x14ac:dyDescent="0.3">
      <c r="B692"/>
      <c r="C692"/>
    </row>
    <row r="693" spans="2:3" x14ac:dyDescent="0.3">
      <c r="B693"/>
      <c r="C693"/>
    </row>
    <row r="694" spans="2:3" x14ac:dyDescent="0.3">
      <c r="B694"/>
      <c r="C694"/>
    </row>
    <row r="695" spans="2:3" x14ac:dyDescent="0.3">
      <c r="B695"/>
      <c r="C695"/>
    </row>
    <row r="696" spans="2:3" x14ac:dyDescent="0.3">
      <c r="B696"/>
      <c r="C696"/>
    </row>
    <row r="697" spans="2:3" x14ac:dyDescent="0.3">
      <c r="B697"/>
      <c r="C697"/>
    </row>
    <row r="698" spans="2:3" x14ac:dyDescent="0.3">
      <c r="B698"/>
      <c r="C698"/>
    </row>
    <row r="699" spans="2:3" x14ac:dyDescent="0.3">
      <c r="B699"/>
      <c r="C699"/>
    </row>
    <row r="700" spans="2:3" x14ac:dyDescent="0.3">
      <c r="B700"/>
      <c r="C700"/>
    </row>
    <row r="701" spans="2:3" x14ac:dyDescent="0.3">
      <c r="B701"/>
      <c r="C701"/>
    </row>
    <row r="702" spans="2:3" x14ac:dyDescent="0.3">
      <c r="B702"/>
      <c r="C702"/>
    </row>
    <row r="703" spans="2:3" x14ac:dyDescent="0.3">
      <c r="B703"/>
      <c r="C703"/>
    </row>
    <row r="704" spans="2:3" x14ac:dyDescent="0.3">
      <c r="B704"/>
      <c r="C704"/>
    </row>
    <row r="705" spans="2:3" x14ac:dyDescent="0.3">
      <c r="B705"/>
      <c r="C705"/>
    </row>
    <row r="706" spans="2:3" x14ac:dyDescent="0.3">
      <c r="B706"/>
      <c r="C706"/>
    </row>
    <row r="707" spans="2:3" x14ac:dyDescent="0.3">
      <c r="B707"/>
      <c r="C707"/>
    </row>
    <row r="708" spans="2:3" x14ac:dyDescent="0.3">
      <c r="B708"/>
      <c r="C708"/>
    </row>
    <row r="709" spans="2:3" x14ac:dyDescent="0.3">
      <c r="B709"/>
      <c r="C709"/>
    </row>
    <row r="710" spans="2:3" x14ac:dyDescent="0.3">
      <c r="B710"/>
      <c r="C710"/>
    </row>
    <row r="711" spans="2:3" x14ac:dyDescent="0.3">
      <c r="B711"/>
      <c r="C711"/>
    </row>
    <row r="712" spans="2:3" x14ac:dyDescent="0.3">
      <c r="B712"/>
      <c r="C712"/>
    </row>
    <row r="713" spans="2:3" x14ac:dyDescent="0.3">
      <c r="B713"/>
      <c r="C713"/>
    </row>
    <row r="714" spans="2:3" x14ac:dyDescent="0.3">
      <c r="B714"/>
      <c r="C714"/>
    </row>
    <row r="715" spans="2:3" x14ac:dyDescent="0.3">
      <c r="B715"/>
      <c r="C715"/>
    </row>
    <row r="716" spans="2:3" x14ac:dyDescent="0.3">
      <c r="B716"/>
      <c r="C716"/>
    </row>
    <row r="717" spans="2:3" x14ac:dyDescent="0.3">
      <c r="B717"/>
      <c r="C717"/>
    </row>
    <row r="718" spans="2:3" x14ac:dyDescent="0.3">
      <c r="B718"/>
      <c r="C718"/>
    </row>
    <row r="719" spans="2:3" x14ac:dyDescent="0.3">
      <c r="B719"/>
      <c r="C719"/>
    </row>
    <row r="720" spans="2:3" x14ac:dyDescent="0.3">
      <c r="B720"/>
      <c r="C720"/>
    </row>
    <row r="721" spans="2:3" x14ac:dyDescent="0.3">
      <c r="B721"/>
      <c r="C721"/>
    </row>
    <row r="722" spans="2:3" x14ac:dyDescent="0.3">
      <c r="B722"/>
      <c r="C722"/>
    </row>
    <row r="723" spans="2:3" x14ac:dyDescent="0.3">
      <c r="B723"/>
      <c r="C723"/>
    </row>
    <row r="724" spans="2:3" x14ac:dyDescent="0.3">
      <c r="B724"/>
      <c r="C724"/>
    </row>
    <row r="725" spans="2:3" x14ac:dyDescent="0.3">
      <c r="B725"/>
      <c r="C725"/>
    </row>
    <row r="726" spans="2:3" x14ac:dyDescent="0.3">
      <c r="B726"/>
      <c r="C726"/>
    </row>
    <row r="727" spans="2:3" x14ac:dyDescent="0.3">
      <c r="B727"/>
      <c r="C727"/>
    </row>
    <row r="728" spans="2:3" x14ac:dyDescent="0.3">
      <c r="B728"/>
      <c r="C728"/>
    </row>
    <row r="729" spans="2:3" x14ac:dyDescent="0.3">
      <c r="B729"/>
      <c r="C729"/>
    </row>
    <row r="730" spans="2:3" x14ac:dyDescent="0.3">
      <c r="B730"/>
      <c r="C730"/>
    </row>
    <row r="731" spans="2:3" x14ac:dyDescent="0.3">
      <c r="B731"/>
      <c r="C731"/>
    </row>
    <row r="732" spans="2:3" x14ac:dyDescent="0.3">
      <c r="B732"/>
      <c r="C732"/>
    </row>
    <row r="733" spans="2:3" x14ac:dyDescent="0.3">
      <c r="B733"/>
      <c r="C733"/>
    </row>
    <row r="734" spans="2:3" x14ac:dyDescent="0.3">
      <c r="B734"/>
      <c r="C734"/>
    </row>
    <row r="735" spans="2:3" x14ac:dyDescent="0.3">
      <c r="B735"/>
      <c r="C735"/>
    </row>
    <row r="736" spans="2:3" x14ac:dyDescent="0.3">
      <c r="B736"/>
      <c r="C736"/>
    </row>
    <row r="737" spans="2:3" x14ac:dyDescent="0.3">
      <c r="B737"/>
      <c r="C737"/>
    </row>
    <row r="738" spans="2:3" x14ac:dyDescent="0.3">
      <c r="B738"/>
      <c r="C738"/>
    </row>
    <row r="739" spans="2:3" x14ac:dyDescent="0.3">
      <c r="B739"/>
      <c r="C739"/>
    </row>
    <row r="740" spans="2:3" x14ac:dyDescent="0.3">
      <c r="B740"/>
      <c r="C740"/>
    </row>
    <row r="741" spans="2:3" x14ac:dyDescent="0.3">
      <c r="B741"/>
      <c r="C741"/>
    </row>
    <row r="742" spans="2:3" x14ac:dyDescent="0.3">
      <c r="B742"/>
      <c r="C742"/>
    </row>
    <row r="743" spans="2:3" x14ac:dyDescent="0.3">
      <c r="B743"/>
      <c r="C743"/>
    </row>
    <row r="744" spans="2:3" x14ac:dyDescent="0.3">
      <c r="B744"/>
      <c r="C744"/>
    </row>
    <row r="745" spans="2:3" x14ac:dyDescent="0.3">
      <c r="B745"/>
      <c r="C745"/>
    </row>
    <row r="746" spans="2:3" x14ac:dyDescent="0.3">
      <c r="B746"/>
      <c r="C746"/>
    </row>
    <row r="747" spans="2:3" x14ac:dyDescent="0.3">
      <c r="B747"/>
      <c r="C747"/>
    </row>
    <row r="748" spans="2:3" x14ac:dyDescent="0.3">
      <c r="B748"/>
      <c r="C748"/>
    </row>
    <row r="749" spans="2:3" x14ac:dyDescent="0.3">
      <c r="B749"/>
      <c r="C749"/>
    </row>
    <row r="750" spans="2:3" x14ac:dyDescent="0.3">
      <c r="B750"/>
      <c r="C750"/>
    </row>
    <row r="751" spans="2:3" x14ac:dyDescent="0.3">
      <c r="B751"/>
      <c r="C751"/>
    </row>
    <row r="752" spans="2:3" x14ac:dyDescent="0.3">
      <c r="B752"/>
      <c r="C752"/>
    </row>
    <row r="753" spans="2:3" x14ac:dyDescent="0.3">
      <c r="B753"/>
      <c r="C753"/>
    </row>
    <row r="754" spans="2:3" x14ac:dyDescent="0.3">
      <c r="B754"/>
      <c r="C754"/>
    </row>
    <row r="755" spans="2:3" x14ac:dyDescent="0.3">
      <c r="B755"/>
      <c r="C755"/>
    </row>
    <row r="756" spans="2:3" x14ac:dyDescent="0.3">
      <c r="B756"/>
      <c r="C756"/>
    </row>
    <row r="757" spans="2:3" x14ac:dyDescent="0.3">
      <c r="B757"/>
      <c r="C757"/>
    </row>
    <row r="758" spans="2:3" x14ac:dyDescent="0.3">
      <c r="B758"/>
      <c r="C758"/>
    </row>
    <row r="759" spans="2:3" x14ac:dyDescent="0.3">
      <c r="B759"/>
      <c r="C759"/>
    </row>
    <row r="760" spans="2:3" x14ac:dyDescent="0.3">
      <c r="B760"/>
      <c r="C760"/>
    </row>
    <row r="761" spans="2:3" x14ac:dyDescent="0.3">
      <c r="B761"/>
      <c r="C761"/>
    </row>
    <row r="762" spans="2:3" x14ac:dyDescent="0.3">
      <c r="B762"/>
      <c r="C762"/>
    </row>
    <row r="763" spans="2:3" x14ac:dyDescent="0.3">
      <c r="B763"/>
      <c r="C763"/>
    </row>
    <row r="764" spans="2:3" x14ac:dyDescent="0.3">
      <c r="B764"/>
      <c r="C764"/>
    </row>
    <row r="765" spans="2:3" x14ac:dyDescent="0.3">
      <c r="B765"/>
      <c r="C765"/>
    </row>
    <row r="766" spans="2:3" x14ac:dyDescent="0.3">
      <c r="B766"/>
      <c r="C766"/>
    </row>
    <row r="767" spans="2:3" x14ac:dyDescent="0.3">
      <c r="B767"/>
      <c r="C767"/>
    </row>
    <row r="768" spans="2:3" x14ac:dyDescent="0.3">
      <c r="B768"/>
      <c r="C768"/>
    </row>
    <row r="769" spans="2:3" x14ac:dyDescent="0.3">
      <c r="B769"/>
      <c r="C769"/>
    </row>
    <row r="770" spans="2:3" x14ac:dyDescent="0.3">
      <c r="B770"/>
      <c r="C770"/>
    </row>
    <row r="771" spans="2:3" x14ac:dyDescent="0.3">
      <c r="B771"/>
      <c r="C771"/>
    </row>
    <row r="772" spans="2:3" x14ac:dyDescent="0.3">
      <c r="B772"/>
      <c r="C772"/>
    </row>
    <row r="773" spans="2:3" x14ac:dyDescent="0.3">
      <c r="B773"/>
      <c r="C773"/>
    </row>
    <row r="774" spans="2:3" x14ac:dyDescent="0.3">
      <c r="B774"/>
      <c r="C774"/>
    </row>
    <row r="775" spans="2:3" x14ac:dyDescent="0.3">
      <c r="B775"/>
      <c r="C775"/>
    </row>
    <row r="776" spans="2:3" x14ac:dyDescent="0.3">
      <c r="B776"/>
      <c r="C776"/>
    </row>
    <row r="777" spans="2:3" x14ac:dyDescent="0.3">
      <c r="B777"/>
      <c r="C777"/>
    </row>
    <row r="778" spans="2:3" x14ac:dyDescent="0.3">
      <c r="B778"/>
      <c r="C778"/>
    </row>
    <row r="779" spans="2:3" x14ac:dyDescent="0.3">
      <c r="B779"/>
      <c r="C779"/>
    </row>
    <row r="780" spans="2:3" x14ac:dyDescent="0.3">
      <c r="B780"/>
      <c r="C780"/>
    </row>
    <row r="781" spans="2:3" x14ac:dyDescent="0.3">
      <c r="B781"/>
      <c r="C781"/>
    </row>
    <row r="782" spans="2:3" x14ac:dyDescent="0.3">
      <c r="B782"/>
      <c r="C782"/>
    </row>
    <row r="783" spans="2:3" x14ac:dyDescent="0.3">
      <c r="B783"/>
      <c r="C783"/>
    </row>
    <row r="784" spans="2:3" x14ac:dyDescent="0.3">
      <c r="B784"/>
      <c r="C784"/>
    </row>
    <row r="785" spans="2:3" x14ac:dyDescent="0.3">
      <c r="B785"/>
      <c r="C785"/>
    </row>
    <row r="786" spans="2:3" x14ac:dyDescent="0.3">
      <c r="B786"/>
      <c r="C786"/>
    </row>
    <row r="787" spans="2:3" x14ac:dyDescent="0.3">
      <c r="B787"/>
      <c r="C787"/>
    </row>
    <row r="788" spans="2:3" x14ac:dyDescent="0.3">
      <c r="B788"/>
      <c r="C788"/>
    </row>
    <row r="789" spans="2:3" x14ac:dyDescent="0.3">
      <c r="B789"/>
      <c r="C789"/>
    </row>
    <row r="790" spans="2:3" x14ac:dyDescent="0.3">
      <c r="B790"/>
      <c r="C790"/>
    </row>
    <row r="791" spans="2:3" x14ac:dyDescent="0.3">
      <c r="B791"/>
      <c r="C791"/>
    </row>
    <row r="792" spans="2:3" x14ac:dyDescent="0.3">
      <c r="B792"/>
      <c r="C792"/>
    </row>
    <row r="793" spans="2:3" x14ac:dyDescent="0.3">
      <c r="B793"/>
      <c r="C793"/>
    </row>
    <row r="794" spans="2:3" x14ac:dyDescent="0.3">
      <c r="B794"/>
      <c r="C794"/>
    </row>
    <row r="795" spans="2:3" x14ac:dyDescent="0.3">
      <c r="B795"/>
      <c r="C795"/>
    </row>
    <row r="796" spans="2:3" x14ac:dyDescent="0.3">
      <c r="B796"/>
      <c r="C796"/>
    </row>
    <row r="797" spans="2:3" x14ac:dyDescent="0.3">
      <c r="B797"/>
      <c r="C797"/>
    </row>
    <row r="798" spans="2:3" x14ac:dyDescent="0.3">
      <c r="B798"/>
      <c r="C798"/>
    </row>
    <row r="799" spans="2:3" x14ac:dyDescent="0.3">
      <c r="B799"/>
      <c r="C799"/>
    </row>
    <row r="800" spans="2:3" x14ac:dyDescent="0.3">
      <c r="B800"/>
      <c r="C800"/>
    </row>
    <row r="801" spans="2:3" x14ac:dyDescent="0.3">
      <c r="B801"/>
      <c r="C801"/>
    </row>
    <row r="802" spans="2:3" x14ac:dyDescent="0.3">
      <c r="B802"/>
      <c r="C802"/>
    </row>
    <row r="803" spans="2:3" x14ac:dyDescent="0.3">
      <c r="B803"/>
      <c r="C803"/>
    </row>
    <row r="804" spans="2:3" x14ac:dyDescent="0.3">
      <c r="B804"/>
      <c r="C804"/>
    </row>
    <row r="805" spans="2:3" x14ac:dyDescent="0.3">
      <c r="B805"/>
      <c r="C805"/>
    </row>
    <row r="806" spans="2:3" x14ac:dyDescent="0.3">
      <c r="B806"/>
      <c r="C806"/>
    </row>
    <row r="807" spans="2:3" x14ac:dyDescent="0.3">
      <c r="B807"/>
      <c r="C807"/>
    </row>
    <row r="808" spans="2:3" x14ac:dyDescent="0.3">
      <c r="B808"/>
      <c r="C808"/>
    </row>
    <row r="809" spans="2:3" x14ac:dyDescent="0.3">
      <c r="B809"/>
      <c r="C809"/>
    </row>
    <row r="810" spans="2:3" x14ac:dyDescent="0.3">
      <c r="B810"/>
      <c r="C810"/>
    </row>
    <row r="811" spans="2:3" x14ac:dyDescent="0.3">
      <c r="B811"/>
      <c r="C811"/>
    </row>
    <row r="812" spans="2:3" x14ac:dyDescent="0.3">
      <c r="B812"/>
      <c r="C812"/>
    </row>
    <row r="813" spans="2:3" x14ac:dyDescent="0.3">
      <c r="B813"/>
      <c r="C813"/>
    </row>
    <row r="814" spans="2:3" x14ac:dyDescent="0.3">
      <c r="B814"/>
      <c r="C814"/>
    </row>
    <row r="815" spans="2:3" x14ac:dyDescent="0.3">
      <c r="B815"/>
      <c r="C815"/>
    </row>
    <row r="816" spans="2:3" x14ac:dyDescent="0.3">
      <c r="B816"/>
      <c r="C816"/>
    </row>
    <row r="817" spans="2:3" x14ac:dyDescent="0.3">
      <c r="B817"/>
      <c r="C817"/>
    </row>
    <row r="818" spans="2:3" x14ac:dyDescent="0.3">
      <c r="B818"/>
      <c r="C818"/>
    </row>
    <row r="819" spans="2:3" x14ac:dyDescent="0.3">
      <c r="B819"/>
      <c r="C819"/>
    </row>
    <row r="820" spans="2:3" x14ac:dyDescent="0.3">
      <c r="B820"/>
      <c r="C820"/>
    </row>
    <row r="821" spans="2:3" x14ac:dyDescent="0.3">
      <c r="B821"/>
      <c r="C821"/>
    </row>
    <row r="822" spans="2:3" x14ac:dyDescent="0.3">
      <c r="B822"/>
      <c r="C822"/>
    </row>
    <row r="823" spans="2:3" x14ac:dyDescent="0.3">
      <c r="B823"/>
      <c r="C823"/>
    </row>
    <row r="824" spans="2:3" x14ac:dyDescent="0.3">
      <c r="B824"/>
      <c r="C824"/>
    </row>
    <row r="825" spans="2:3" x14ac:dyDescent="0.3">
      <c r="B825"/>
      <c r="C825"/>
    </row>
    <row r="826" spans="2:3" x14ac:dyDescent="0.3">
      <c r="B826"/>
      <c r="C826"/>
    </row>
    <row r="827" spans="2:3" x14ac:dyDescent="0.3">
      <c r="B827"/>
      <c r="C827"/>
    </row>
    <row r="828" spans="2:3" x14ac:dyDescent="0.3">
      <c r="B828"/>
      <c r="C828"/>
    </row>
    <row r="829" spans="2:3" x14ac:dyDescent="0.3">
      <c r="B829"/>
      <c r="C829"/>
    </row>
    <row r="830" spans="2:3" x14ac:dyDescent="0.3">
      <c r="B830"/>
      <c r="C830"/>
    </row>
    <row r="831" spans="2:3" x14ac:dyDescent="0.3">
      <c r="B831"/>
      <c r="C831"/>
    </row>
    <row r="832" spans="2:3" x14ac:dyDescent="0.3">
      <c r="B832"/>
      <c r="C832"/>
    </row>
    <row r="833" spans="2:3" x14ac:dyDescent="0.3">
      <c r="B833"/>
      <c r="C833"/>
    </row>
    <row r="834" spans="2:3" x14ac:dyDescent="0.3">
      <c r="B834"/>
      <c r="C834"/>
    </row>
    <row r="835" spans="2:3" x14ac:dyDescent="0.3">
      <c r="B835"/>
      <c r="C835"/>
    </row>
    <row r="836" spans="2:3" x14ac:dyDescent="0.3">
      <c r="B836"/>
      <c r="C836"/>
    </row>
    <row r="837" spans="2:3" x14ac:dyDescent="0.3">
      <c r="B837"/>
      <c r="C837"/>
    </row>
    <row r="838" spans="2:3" x14ac:dyDescent="0.3">
      <c r="B838"/>
      <c r="C838"/>
    </row>
    <row r="839" spans="2:3" x14ac:dyDescent="0.3">
      <c r="B839"/>
      <c r="C839"/>
    </row>
    <row r="840" spans="2:3" x14ac:dyDescent="0.3">
      <c r="B840"/>
      <c r="C840"/>
    </row>
    <row r="841" spans="2:3" x14ac:dyDescent="0.3">
      <c r="B841"/>
      <c r="C841"/>
    </row>
    <row r="842" spans="2:3" x14ac:dyDescent="0.3">
      <c r="B842"/>
      <c r="C842"/>
    </row>
    <row r="843" spans="2:3" x14ac:dyDescent="0.3">
      <c r="B843"/>
      <c r="C843"/>
    </row>
    <row r="844" spans="2:3" x14ac:dyDescent="0.3">
      <c r="B844"/>
      <c r="C844"/>
    </row>
    <row r="845" spans="2:3" x14ac:dyDescent="0.3">
      <c r="B845"/>
      <c r="C845"/>
    </row>
    <row r="846" spans="2:3" x14ac:dyDescent="0.3">
      <c r="B846"/>
      <c r="C846"/>
    </row>
    <row r="847" spans="2:3" x14ac:dyDescent="0.3">
      <c r="B847"/>
      <c r="C847"/>
    </row>
    <row r="848" spans="2:3" x14ac:dyDescent="0.3">
      <c r="B848"/>
      <c r="C848"/>
    </row>
    <row r="849" spans="2:3" x14ac:dyDescent="0.3">
      <c r="B849"/>
      <c r="C849"/>
    </row>
    <row r="850" spans="2:3" x14ac:dyDescent="0.3">
      <c r="B850"/>
      <c r="C850"/>
    </row>
    <row r="851" spans="2:3" x14ac:dyDescent="0.3">
      <c r="B851"/>
      <c r="C851"/>
    </row>
    <row r="852" spans="2:3" x14ac:dyDescent="0.3">
      <c r="B852"/>
      <c r="C852"/>
    </row>
    <row r="853" spans="2:3" x14ac:dyDescent="0.3">
      <c r="B853"/>
      <c r="C853"/>
    </row>
    <row r="854" spans="2:3" x14ac:dyDescent="0.3">
      <c r="B854"/>
      <c r="C854"/>
    </row>
    <row r="855" spans="2:3" x14ac:dyDescent="0.3">
      <c r="B855"/>
      <c r="C855"/>
    </row>
    <row r="856" spans="2:3" x14ac:dyDescent="0.3">
      <c r="B856"/>
      <c r="C856"/>
    </row>
    <row r="857" spans="2:3" x14ac:dyDescent="0.3">
      <c r="B857"/>
      <c r="C857"/>
    </row>
    <row r="858" spans="2:3" x14ac:dyDescent="0.3">
      <c r="B858"/>
      <c r="C858"/>
    </row>
    <row r="859" spans="2:3" x14ac:dyDescent="0.3">
      <c r="B859"/>
      <c r="C859"/>
    </row>
    <row r="860" spans="2:3" x14ac:dyDescent="0.3">
      <c r="B860"/>
      <c r="C860"/>
    </row>
    <row r="861" spans="2:3" x14ac:dyDescent="0.3">
      <c r="B861"/>
      <c r="C861"/>
    </row>
    <row r="862" spans="2:3" x14ac:dyDescent="0.3">
      <c r="B862"/>
      <c r="C862"/>
    </row>
    <row r="863" spans="2:3" x14ac:dyDescent="0.3">
      <c r="B863"/>
      <c r="C863"/>
    </row>
    <row r="864" spans="2:3" x14ac:dyDescent="0.3">
      <c r="B864"/>
      <c r="C864"/>
    </row>
    <row r="865" spans="2:3" x14ac:dyDescent="0.3">
      <c r="B865"/>
      <c r="C865"/>
    </row>
    <row r="866" spans="2:3" x14ac:dyDescent="0.3">
      <c r="B866"/>
      <c r="C866"/>
    </row>
    <row r="867" spans="2:3" x14ac:dyDescent="0.3">
      <c r="B867"/>
      <c r="C867"/>
    </row>
    <row r="868" spans="2:3" x14ac:dyDescent="0.3">
      <c r="B868"/>
      <c r="C868"/>
    </row>
    <row r="869" spans="2:3" x14ac:dyDescent="0.3">
      <c r="B869"/>
      <c r="C869"/>
    </row>
    <row r="870" spans="2:3" x14ac:dyDescent="0.3">
      <c r="B870"/>
      <c r="C870"/>
    </row>
    <row r="871" spans="2:3" x14ac:dyDescent="0.3">
      <c r="B871"/>
      <c r="C871"/>
    </row>
    <row r="872" spans="2:3" x14ac:dyDescent="0.3">
      <c r="B872"/>
      <c r="C872"/>
    </row>
    <row r="873" spans="2:3" x14ac:dyDescent="0.3">
      <c r="B873"/>
      <c r="C873"/>
    </row>
    <row r="874" spans="2:3" x14ac:dyDescent="0.3">
      <c r="B874"/>
      <c r="C874"/>
    </row>
    <row r="875" spans="2:3" x14ac:dyDescent="0.3">
      <c r="B875"/>
      <c r="C875"/>
    </row>
    <row r="876" spans="2:3" x14ac:dyDescent="0.3">
      <c r="B876"/>
      <c r="C876"/>
    </row>
    <row r="877" spans="2:3" x14ac:dyDescent="0.3">
      <c r="B877"/>
      <c r="C877"/>
    </row>
    <row r="878" spans="2:3" x14ac:dyDescent="0.3">
      <c r="B878"/>
      <c r="C878"/>
    </row>
    <row r="879" spans="2:3" x14ac:dyDescent="0.3">
      <c r="B879"/>
      <c r="C879"/>
    </row>
    <row r="880" spans="2:3" x14ac:dyDescent="0.3">
      <c r="B880"/>
      <c r="C880"/>
    </row>
    <row r="881" spans="2:3" x14ac:dyDescent="0.3">
      <c r="B881"/>
      <c r="C881"/>
    </row>
    <row r="882" spans="2:3" x14ac:dyDescent="0.3">
      <c r="B882"/>
      <c r="C882"/>
    </row>
    <row r="883" spans="2:3" x14ac:dyDescent="0.3">
      <c r="B883"/>
      <c r="C883"/>
    </row>
    <row r="884" spans="2:3" x14ac:dyDescent="0.3">
      <c r="B884"/>
      <c r="C884"/>
    </row>
    <row r="885" spans="2:3" x14ac:dyDescent="0.3">
      <c r="B885"/>
      <c r="C885"/>
    </row>
    <row r="886" spans="2:3" x14ac:dyDescent="0.3">
      <c r="B886"/>
      <c r="C886"/>
    </row>
    <row r="887" spans="2:3" x14ac:dyDescent="0.3">
      <c r="B887"/>
      <c r="C887"/>
    </row>
    <row r="888" spans="2:3" x14ac:dyDescent="0.3">
      <c r="B888"/>
      <c r="C888"/>
    </row>
    <row r="889" spans="2:3" x14ac:dyDescent="0.3">
      <c r="B889"/>
      <c r="C889"/>
    </row>
    <row r="890" spans="2:3" x14ac:dyDescent="0.3">
      <c r="B890"/>
      <c r="C890"/>
    </row>
    <row r="891" spans="2:3" x14ac:dyDescent="0.3">
      <c r="B891"/>
      <c r="C891"/>
    </row>
    <row r="892" spans="2:3" x14ac:dyDescent="0.3">
      <c r="B892"/>
      <c r="C892"/>
    </row>
    <row r="893" spans="2:3" x14ac:dyDescent="0.3">
      <c r="B893"/>
      <c r="C893"/>
    </row>
    <row r="894" spans="2:3" x14ac:dyDescent="0.3">
      <c r="B894"/>
      <c r="C894"/>
    </row>
    <row r="895" spans="2:3" x14ac:dyDescent="0.3">
      <c r="B895"/>
      <c r="C895"/>
    </row>
    <row r="896" spans="2:3" x14ac:dyDescent="0.3">
      <c r="B896"/>
      <c r="C896"/>
    </row>
    <row r="897" spans="2:3" x14ac:dyDescent="0.3">
      <c r="B897"/>
      <c r="C897"/>
    </row>
    <row r="898" spans="2:3" x14ac:dyDescent="0.3">
      <c r="B898"/>
      <c r="C898"/>
    </row>
    <row r="899" spans="2:3" x14ac:dyDescent="0.3">
      <c r="B899"/>
      <c r="C899"/>
    </row>
    <row r="900" spans="2:3" x14ac:dyDescent="0.3">
      <c r="B900"/>
      <c r="C900"/>
    </row>
    <row r="901" spans="2:3" x14ac:dyDescent="0.3">
      <c r="B901"/>
      <c r="C901"/>
    </row>
    <row r="902" spans="2:3" x14ac:dyDescent="0.3">
      <c r="B902"/>
      <c r="C902"/>
    </row>
    <row r="903" spans="2:3" x14ac:dyDescent="0.3">
      <c r="B903"/>
      <c r="C903"/>
    </row>
    <row r="904" spans="2:3" x14ac:dyDescent="0.3">
      <c r="B904"/>
      <c r="C904"/>
    </row>
    <row r="905" spans="2:3" x14ac:dyDescent="0.3">
      <c r="B905"/>
      <c r="C905"/>
    </row>
    <row r="906" spans="2:3" x14ac:dyDescent="0.3">
      <c r="B906"/>
      <c r="C906"/>
    </row>
    <row r="907" spans="2:3" x14ac:dyDescent="0.3">
      <c r="B907"/>
      <c r="C907"/>
    </row>
    <row r="908" spans="2:3" x14ac:dyDescent="0.3">
      <c r="B908"/>
      <c r="C908"/>
    </row>
    <row r="909" spans="2:3" x14ac:dyDescent="0.3">
      <c r="B909"/>
      <c r="C909"/>
    </row>
    <row r="910" spans="2:3" x14ac:dyDescent="0.3">
      <c r="B910"/>
      <c r="C910"/>
    </row>
    <row r="911" spans="2:3" x14ac:dyDescent="0.3">
      <c r="B911"/>
      <c r="C911"/>
    </row>
    <row r="912" spans="2:3" x14ac:dyDescent="0.3">
      <c r="B912"/>
      <c r="C912"/>
    </row>
    <row r="913" spans="2:3" x14ac:dyDescent="0.3">
      <c r="B913"/>
      <c r="C913"/>
    </row>
    <row r="914" spans="2:3" x14ac:dyDescent="0.3">
      <c r="B914"/>
      <c r="C914"/>
    </row>
    <row r="915" spans="2:3" x14ac:dyDescent="0.3">
      <c r="B915"/>
      <c r="C915"/>
    </row>
    <row r="916" spans="2:3" x14ac:dyDescent="0.3">
      <c r="B916"/>
      <c r="C916"/>
    </row>
    <row r="917" spans="2:3" x14ac:dyDescent="0.3">
      <c r="B917"/>
      <c r="C917"/>
    </row>
    <row r="918" spans="2:3" x14ac:dyDescent="0.3">
      <c r="B918"/>
      <c r="C918"/>
    </row>
    <row r="919" spans="2:3" x14ac:dyDescent="0.3">
      <c r="B919"/>
      <c r="C919"/>
    </row>
    <row r="920" spans="2:3" x14ac:dyDescent="0.3">
      <c r="B920"/>
      <c r="C920"/>
    </row>
    <row r="921" spans="2:3" x14ac:dyDescent="0.3">
      <c r="B921"/>
      <c r="C921"/>
    </row>
    <row r="922" spans="2:3" x14ac:dyDescent="0.3">
      <c r="B922"/>
      <c r="C922"/>
    </row>
    <row r="923" spans="2:3" x14ac:dyDescent="0.3">
      <c r="B923"/>
      <c r="C923"/>
    </row>
    <row r="924" spans="2:3" x14ac:dyDescent="0.3">
      <c r="B924"/>
      <c r="C924"/>
    </row>
    <row r="925" spans="2:3" x14ac:dyDescent="0.3">
      <c r="B925"/>
      <c r="C925"/>
    </row>
    <row r="926" spans="2:3" x14ac:dyDescent="0.3">
      <c r="B926"/>
      <c r="C926"/>
    </row>
    <row r="927" spans="2:3" x14ac:dyDescent="0.3">
      <c r="B927"/>
      <c r="C927"/>
    </row>
    <row r="928" spans="2:3" x14ac:dyDescent="0.3">
      <c r="B928"/>
      <c r="C928"/>
    </row>
    <row r="929" spans="2:3" x14ac:dyDescent="0.3">
      <c r="B929"/>
      <c r="C929"/>
    </row>
    <row r="930" spans="2:3" x14ac:dyDescent="0.3">
      <c r="B930"/>
      <c r="C930"/>
    </row>
    <row r="931" spans="2:3" x14ac:dyDescent="0.3">
      <c r="B931"/>
      <c r="C931"/>
    </row>
    <row r="932" spans="2:3" x14ac:dyDescent="0.3">
      <c r="B932"/>
      <c r="C932"/>
    </row>
    <row r="933" spans="2:3" x14ac:dyDescent="0.3">
      <c r="B933"/>
      <c r="C933"/>
    </row>
    <row r="934" spans="2:3" x14ac:dyDescent="0.3">
      <c r="B934"/>
      <c r="C934"/>
    </row>
    <row r="935" spans="2:3" x14ac:dyDescent="0.3">
      <c r="B935"/>
      <c r="C935"/>
    </row>
    <row r="936" spans="2:3" x14ac:dyDescent="0.3">
      <c r="B936"/>
      <c r="C936"/>
    </row>
    <row r="937" spans="2:3" x14ac:dyDescent="0.3">
      <c r="B937"/>
      <c r="C937"/>
    </row>
    <row r="938" spans="2:3" x14ac:dyDescent="0.3">
      <c r="B938"/>
      <c r="C938"/>
    </row>
    <row r="939" spans="2:3" x14ac:dyDescent="0.3">
      <c r="B939"/>
      <c r="C939"/>
    </row>
    <row r="940" spans="2:3" x14ac:dyDescent="0.3">
      <c r="B940"/>
      <c r="C940"/>
    </row>
    <row r="941" spans="2:3" x14ac:dyDescent="0.3">
      <c r="B941"/>
      <c r="C941"/>
    </row>
    <row r="942" spans="2:3" x14ac:dyDescent="0.3">
      <c r="B942"/>
      <c r="C942"/>
    </row>
    <row r="943" spans="2:3" x14ac:dyDescent="0.3">
      <c r="B943"/>
      <c r="C943"/>
    </row>
    <row r="944" spans="2:3" x14ac:dyDescent="0.3">
      <c r="B944"/>
      <c r="C944"/>
    </row>
    <row r="945" spans="2:3" x14ac:dyDescent="0.3">
      <c r="B945"/>
      <c r="C945"/>
    </row>
    <row r="946" spans="2:3" x14ac:dyDescent="0.3">
      <c r="B946"/>
      <c r="C946"/>
    </row>
    <row r="947" spans="2:3" x14ac:dyDescent="0.3">
      <c r="B947"/>
      <c r="C947"/>
    </row>
    <row r="948" spans="2:3" x14ac:dyDescent="0.3">
      <c r="B948"/>
      <c r="C948"/>
    </row>
    <row r="949" spans="2:3" x14ac:dyDescent="0.3">
      <c r="B949"/>
      <c r="C949"/>
    </row>
    <row r="950" spans="2:3" x14ac:dyDescent="0.3">
      <c r="B950"/>
      <c r="C950"/>
    </row>
    <row r="951" spans="2:3" x14ac:dyDescent="0.3">
      <c r="B951"/>
      <c r="C951"/>
    </row>
    <row r="952" spans="2:3" x14ac:dyDescent="0.3">
      <c r="B952"/>
      <c r="C952"/>
    </row>
    <row r="953" spans="2:3" x14ac:dyDescent="0.3">
      <c r="B953"/>
      <c r="C953"/>
    </row>
    <row r="954" spans="2:3" x14ac:dyDescent="0.3">
      <c r="B954"/>
      <c r="C954"/>
    </row>
    <row r="955" spans="2:3" x14ac:dyDescent="0.3">
      <c r="B955"/>
      <c r="C955"/>
    </row>
    <row r="956" spans="2:3" x14ac:dyDescent="0.3">
      <c r="B956"/>
      <c r="C956"/>
    </row>
    <row r="957" spans="2:3" x14ac:dyDescent="0.3">
      <c r="B957"/>
      <c r="C957"/>
    </row>
    <row r="958" spans="2:3" x14ac:dyDescent="0.3">
      <c r="B958"/>
      <c r="C958"/>
    </row>
    <row r="959" spans="2:3" x14ac:dyDescent="0.3">
      <c r="B959"/>
      <c r="C959"/>
    </row>
    <row r="960" spans="2:3" x14ac:dyDescent="0.3">
      <c r="B960"/>
      <c r="C960"/>
    </row>
    <row r="961" spans="2:3" x14ac:dyDescent="0.3">
      <c r="B961"/>
      <c r="C961"/>
    </row>
    <row r="962" spans="2:3" x14ac:dyDescent="0.3">
      <c r="B962"/>
      <c r="C962"/>
    </row>
    <row r="963" spans="2:3" x14ac:dyDescent="0.3">
      <c r="B963"/>
      <c r="C963"/>
    </row>
    <row r="964" spans="2:3" x14ac:dyDescent="0.3">
      <c r="B964"/>
      <c r="C964"/>
    </row>
    <row r="965" spans="2:3" x14ac:dyDescent="0.3">
      <c r="B965"/>
      <c r="C965"/>
    </row>
    <row r="966" spans="2:3" x14ac:dyDescent="0.3">
      <c r="B966"/>
      <c r="C966"/>
    </row>
    <row r="967" spans="2:3" x14ac:dyDescent="0.3">
      <c r="B967"/>
      <c r="C967"/>
    </row>
    <row r="968" spans="2:3" x14ac:dyDescent="0.3">
      <c r="B968"/>
      <c r="C968"/>
    </row>
    <row r="969" spans="2:3" x14ac:dyDescent="0.3">
      <c r="B969"/>
      <c r="C969"/>
    </row>
    <row r="970" spans="2:3" x14ac:dyDescent="0.3">
      <c r="B970"/>
      <c r="C970"/>
    </row>
    <row r="971" spans="2:3" x14ac:dyDescent="0.3">
      <c r="B971"/>
      <c r="C971"/>
    </row>
    <row r="972" spans="2:3" x14ac:dyDescent="0.3">
      <c r="B972"/>
      <c r="C972"/>
    </row>
    <row r="973" spans="2:3" x14ac:dyDescent="0.3">
      <c r="B973"/>
      <c r="C973"/>
    </row>
    <row r="974" spans="2:3" x14ac:dyDescent="0.3">
      <c r="B974"/>
      <c r="C974"/>
    </row>
    <row r="975" spans="2:3" x14ac:dyDescent="0.3">
      <c r="B975"/>
      <c r="C975"/>
    </row>
    <row r="976" spans="2:3" x14ac:dyDescent="0.3">
      <c r="B976"/>
      <c r="C976"/>
    </row>
    <row r="977" spans="2:3" x14ac:dyDescent="0.3">
      <c r="B977"/>
      <c r="C977"/>
    </row>
    <row r="978" spans="2:3" x14ac:dyDescent="0.3">
      <c r="B978"/>
      <c r="C978"/>
    </row>
    <row r="979" spans="2:3" x14ac:dyDescent="0.3">
      <c r="B979"/>
      <c r="C979"/>
    </row>
    <row r="980" spans="2:3" x14ac:dyDescent="0.3">
      <c r="B980"/>
      <c r="C980"/>
    </row>
    <row r="981" spans="2:3" x14ac:dyDescent="0.3">
      <c r="B981"/>
      <c r="C981"/>
    </row>
    <row r="982" spans="2:3" x14ac:dyDescent="0.3">
      <c r="B982"/>
      <c r="C982"/>
    </row>
    <row r="983" spans="2:3" x14ac:dyDescent="0.3">
      <c r="B983"/>
      <c r="C983"/>
    </row>
    <row r="984" spans="2:3" x14ac:dyDescent="0.3">
      <c r="B984"/>
      <c r="C984"/>
    </row>
    <row r="985" spans="2:3" x14ac:dyDescent="0.3">
      <c r="B985"/>
      <c r="C985"/>
    </row>
    <row r="986" spans="2:3" x14ac:dyDescent="0.3">
      <c r="B986"/>
      <c r="C986"/>
    </row>
    <row r="987" spans="2:3" x14ac:dyDescent="0.3">
      <c r="B987"/>
      <c r="C987"/>
    </row>
    <row r="988" spans="2:3" x14ac:dyDescent="0.3">
      <c r="B988"/>
      <c r="C988"/>
    </row>
    <row r="989" spans="2:3" x14ac:dyDescent="0.3">
      <c r="B989"/>
      <c r="C989"/>
    </row>
    <row r="990" spans="2:3" x14ac:dyDescent="0.3">
      <c r="B990"/>
      <c r="C990"/>
    </row>
    <row r="991" spans="2:3" x14ac:dyDescent="0.3">
      <c r="B991"/>
      <c r="C991"/>
    </row>
    <row r="992" spans="2:3" x14ac:dyDescent="0.3">
      <c r="B992"/>
      <c r="C992"/>
    </row>
    <row r="993" spans="1:4" x14ac:dyDescent="0.3">
      <c r="B993"/>
      <c r="C993"/>
    </row>
    <row r="994" spans="1:4" x14ac:dyDescent="0.3">
      <c r="B994"/>
      <c r="C994"/>
    </row>
    <row r="995" spans="1:4" x14ac:dyDescent="0.3">
      <c r="B995"/>
      <c r="C995"/>
    </row>
    <row r="996" spans="1:4" x14ac:dyDescent="0.3">
      <c r="B996"/>
      <c r="C996"/>
    </row>
    <row r="997" spans="1:4" x14ac:dyDescent="0.3">
      <c r="B997"/>
      <c r="C997"/>
    </row>
    <row r="998" spans="1:4" x14ac:dyDescent="0.3">
      <c r="B998"/>
      <c r="C998"/>
    </row>
    <row r="999" spans="1:4" x14ac:dyDescent="0.3">
      <c r="B999"/>
      <c r="C999"/>
    </row>
    <row r="1000" spans="1:4" x14ac:dyDescent="0.3">
      <c r="B1000"/>
      <c r="C1000"/>
    </row>
    <row r="1001" spans="1:4" x14ac:dyDescent="0.3">
      <c r="A1001" s="59"/>
      <c r="B1001" s="58"/>
      <c r="C1001" s="60"/>
      <c r="D1001" s="56"/>
    </row>
    <row r="1002" spans="1:4" x14ac:dyDescent="0.3">
      <c r="A1002" s="59"/>
      <c r="B1002" s="58"/>
      <c r="C1002" s="60"/>
      <c r="D1002" s="56"/>
    </row>
    <row r="1003" spans="1:4" x14ac:dyDescent="0.3">
      <c r="A1003" s="59"/>
      <c r="B1003" s="58"/>
      <c r="C1003" s="60"/>
      <c r="D1003" s="56"/>
    </row>
    <row r="1004" spans="1:4" x14ac:dyDescent="0.3">
      <c r="A1004" s="59"/>
      <c r="B1004" s="58"/>
      <c r="C1004" s="60"/>
      <c r="D1004" s="56"/>
    </row>
    <row r="1005" spans="1:4" x14ac:dyDescent="0.3">
      <c r="A1005" s="59"/>
      <c r="B1005" s="58"/>
      <c r="C1005" s="60"/>
      <c r="D1005" s="56"/>
    </row>
    <row r="1006" spans="1:4" x14ac:dyDescent="0.3">
      <c r="A1006" s="59"/>
      <c r="B1006" s="58"/>
      <c r="C1006" s="60"/>
      <c r="D1006" s="56"/>
    </row>
    <row r="1007" spans="1:4" x14ac:dyDescent="0.3">
      <c r="A1007" s="59"/>
      <c r="B1007" s="58"/>
      <c r="C1007" s="60"/>
      <c r="D1007" s="56"/>
    </row>
    <row r="1008" spans="1:4" x14ac:dyDescent="0.3">
      <c r="A1008" s="59"/>
      <c r="B1008" s="58"/>
      <c r="C1008" s="60"/>
      <c r="D1008" s="56"/>
    </row>
    <row r="1009" spans="1:4" x14ac:dyDescent="0.3">
      <c r="A1009" s="59"/>
      <c r="B1009" s="58"/>
      <c r="C1009" s="60"/>
      <c r="D1009" s="56"/>
    </row>
    <row r="1010" spans="1:4" x14ac:dyDescent="0.3">
      <c r="A1010" s="59"/>
      <c r="B1010" s="58"/>
      <c r="C1010" s="60"/>
      <c r="D1010" s="56"/>
    </row>
    <row r="1011" spans="1:4" x14ac:dyDescent="0.3">
      <c r="A1011" s="59"/>
      <c r="B1011" s="58"/>
      <c r="C1011" s="60"/>
      <c r="D1011" s="56"/>
    </row>
    <row r="1012" spans="1:4" x14ac:dyDescent="0.3">
      <c r="A1012" s="59"/>
      <c r="B1012" s="58"/>
      <c r="C1012" s="60"/>
      <c r="D1012" s="56"/>
    </row>
    <row r="1013" spans="1:4" x14ac:dyDescent="0.3">
      <c r="A1013" s="59"/>
      <c r="B1013" s="58"/>
      <c r="C1013" s="60"/>
      <c r="D1013" s="56"/>
    </row>
    <row r="1014" spans="1:4" x14ac:dyDescent="0.3">
      <c r="A1014" s="59"/>
      <c r="B1014" s="58"/>
      <c r="C1014" s="60"/>
      <c r="D1014" s="56"/>
    </row>
    <row r="1015" spans="1:4" x14ac:dyDescent="0.3">
      <c r="A1015" s="59"/>
      <c r="B1015" s="58"/>
      <c r="C1015" s="60"/>
      <c r="D1015" s="56"/>
    </row>
    <row r="1016" spans="1:4" x14ac:dyDescent="0.3">
      <c r="A1016" s="59"/>
      <c r="B1016" s="58"/>
      <c r="C1016" s="60"/>
      <c r="D1016" s="56"/>
    </row>
    <row r="1017" spans="1:4" x14ac:dyDescent="0.3">
      <c r="A1017" s="59"/>
      <c r="B1017" s="58"/>
      <c r="C1017" s="60"/>
      <c r="D1017" s="56"/>
    </row>
    <row r="1018" spans="1:4" x14ac:dyDescent="0.3">
      <c r="A1018" s="59"/>
      <c r="B1018" s="58"/>
      <c r="C1018" s="60"/>
      <c r="D1018" s="56"/>
    </row>
    <row r="1019" spans="1:4" x14ac:dyDescent="0.3">
      <c r="A1019" s="59"/>
      <c r="B1019" s="58"/>
      <c r="C1019" s="60"/>
      <c r="D1019" s="56"/>
    </row>
    <row r="1020" spans="1:4" x14ac:dyDescent="0.3">
      <c r="A1020" s="59"/>
      <c r="B1020" s="58"/>
      <c r="C1020" s="60"/>
      <c r="D1020" s="56"/>
    </row>
    <row r="1021" spans="1:4" x14ac:dyDescent="0.3">
      <c r="A1021" s="59"/>
      <c r="B1021" s="58"/>
      <c r="C1021" s="60"/>
      <c r="D1021" s="56"/>
    </row>
    <row r="1022" spans="1:4" x14ac:dyDescent="0.3">
      <c r="A1022" s="59"/>
      <c r="B1022" s="58"/>
      <c r="C1022" s="60"/>
      <c r="D1022" s="56"/>
    </row>
    <row r="1023" spans="1:4" x14ac:dyDescent="0.3">
      <c r="A1023" s="59"/>
      <c r="B1023" s="58"/>
      <c r="C1023" s="60"/>
      <c r="D1023" s="56"/>
    </row>
    <row r="1024" spans="1:4" x14ac:dyDescent="0.3">
      <c r="A1024" s="59"/>
      <c r="B1024" s="58"/>
      <c r="C1024" s="60"/>
      <c r="D1024" s="56"/>
    </row>
    <row r="1025" spans="1:4" x14ac:dyDescent="0.3">
      <c r="A1025" s="59"/>
      <c r="B1025" s="58"/>
      <c r="C1025" s="60"/>
      <c r="D1025" s="56"/>
    </row>
    <row r="1026" spans="1:4" x14ac:dyDescent="0.3">
      <c r="A1026" s="59"/>
      <c r="B1026" s="58"/>
      <c r="C1026" s="60"/>
      <c r="D1026" s="56"/>
    </row>
    <row r="1027" spans="1:4" x14ac:dyDescent="0.3">
      <c r="A1027" s="59"/>
      <c r="B1027" s="58"/>
      <c r="C1027" s="60"/>
      <c r="D1027" s="56"/>
    </row>
    <row r="1028" spans="1:4" x14ac:dyDescent="0.3">
      <c r="A1028" s="59"/>
      <c r="B1028" s="58"/>
      <c r="C1028" s="60"/>
      <c r="D1028" s="56"/>
    </row>
    <row r="1029" spans="1:4" x14ac:dyDescent="0.3">
      <c r="A1029" s="59"/>
      <c r="B1029" s="58"/>
      <c r="C1029" s="60"/>
      <c r="D1029" s="56"/>
    </row>
    <row r="1030" spans="1:4" x14ac:dyDescent="0.3">
      <c r="A1030" s="59"/>
      <c r="B1030" s="58"/>
      <c r="C1030" s="60"/>
      <c r="D1030" s="56"/>
    </row>
    <row r="1031" spans="1:4" x14ac:dyDescent="0.3">
      <c r="A1031" s="59"/>
      <c r="B1031" s="58"/>
      <c r="C1031" s="60"/>
      <c r="D1031" s="56"/>
    </row>
    <row r="1032" spans="1:4" x14ac:dyDescent="0.3">
      <c r="A1032" s="59"/>
      <c r="B1032" s="58"/>
      <c r="C1032" s="60"/>
      <c r="D1032" s="56"/>
    </row>
    <row r="1033" spans="1:4" x14ac:dyDescent="0.3">
      <c r="A1033" s="59"/>
      <c r="B1033" s="58"/>
      <c r="C1033" s="60"/>
      <c r="D1033" s="56"/>
    </row>
    <row r="1034" spans="1:4" x14ac:dyDescent="0.3">
      <c r="A1034" s="59"/>
      <c r="B1034" s="58"/>
      <c r="C1034" s="60"/>
      <c r="D1034" s="56"/>
    </row>
    <row r="1035" spans="1:4" x14ac:dyDescent="0.3">
      <c r="A1035" s="59"/>
      <c r="B1035" s="58"/>
      <c r="C1035" s="60"/>
      <c r="D1035" s="56"/>
    </row>
    <row r="1036" spans="1:4" x14ac:dyDescent="0.3">
      <c r="A1036" s="59"/>
      <c r="B1036" s="58"/>
      <c r="C1036" s="60"/>
      <c r="D1036" s="56"/>
    </row>
    <row r="1037" spans="1:4" x14ac:dyDescent="0.3">
      <c r="A1037" s="59"/>
      <c r="B1037" s="58"/>
      <c r="C1037" s="60"/>
      <c r="D1037" s="56"/>
    </row>
    <row r="1038" spans="1:4" x14ac:dyDescent="0.3">
      <c r="A1038" s="59"/>
      <c r="B1038" s="58"/>
      <c r="C1038" s="60"/>
      <c r="D1038" s="56"/>
    </row>
    <row r="1039" spans="1:4" x14ac:dyDescent="0.3">
      <c r="A1039" s="59"/>
      <c r="B1039" s="58"/>
      <c r="C1039" s="60"/>
      <c r="D1039" s="56"/>
    </row>
    <row r="1040" spans="1:4" x14ac:dyDescent="0.3">
      <c r="A1040" s="59"/>
      <c r="B1040" s="58"/>
      <c r="C1040" s="60"/>
      <c r="D1040" s="56"/>
    </row>
    <row r="1041" spans="1:4" x14ac:dyDescent="0.3">
      <c r="A1041" s="59"/>
      <c r="B1041" s="58"/>
      <c r="C1041" s="60"/>
      <c r="D1041" s="56"/>
    </row>
    <row r="1042" spans="1:4" x14ac:dyDescent="0.3">
      <c r="A1042" s="59"/>
      <c r="B1042" s="58"/>
      <c r="C1042" s="60"/>
      <c r="D1042" s="56"/>
    </row>
    <row r="1043" spans="1:4" x14ac:dyDescent="0.3">
      <c r="A1043" s="59"/>
      <c r="B1043" s="58"/>
      <c r="C1043" s="60"/>
      <c r="D1043" s="56"/>
    </row>
    <row r="1044" spans="1:4" x14ac:dyDescent="0.3">
      <c r="A1044" s="59"/>
      <c r="B1044" s="58"/>
      <c r="C1044" s="60"/>
      <c r="D1044" s="56"/>
    </row>
    <row r="1045" spans="1:4" x14ac:dyDescent="0.3">
      <c r="A1045" s="59"/>
      <c r="B1045" s="58"/>
      <c r="C1045" s="60"/>
      <c r="D1045" s="56"/>
    </row>
    <row r="1046" spans="1:4" x14ac:dyDescent="0.3">
      <c r="A1046" s="59"/>
      <c r="B1046" s="58"/>
      <c r="C1046" s="60"/>
      <c r="D1046" s="56"/>
    </row>
    <row r="1047" spans="1:4" x14ac:dyDescent="0.3">
      <c r="A1047" s="59"/>
      <c r="B1047" s="58"/>
      <c r="C1047" s="60"/>
      <c r="D1047" s="56"/>
    </row>
    <row r="1048" spans="1:4" x14ac:dyDescent="0.3">
      <c r="A1048" s="59"/>
      <c r="B1048" s="58"/>
      <c r="C1048" s="60"/>
      <c r="D1048" s="56"/>
    </row>
    <row r="1049" spans="1:4" x14ac:dyDescent="0.3">
      <c r="A1049" s="59"/>
      <c r="B1049" s="58"/>
      <c r="C1049" s="60"/>
      <c r="D1049" s="56"/>
    </row>
    <row r="1050" spans="1:4" x14ac:dyDescent="0.3">
      <c r="A1050" s="59"/>
      <c r="B1050" s="58"/>
      <c r="C1050" s="60"/>
      <c r="D1050" s="56"/>
    </row>
    <row r="1051" spans="1:4" x14ac:dyDescent="0.3">
      <c r="A1051" s="59"/>
      <c r="B1051" s="58"/>
      <c r="C1051" s="60"/>
      <c r="D1051" s="56"/>
    </row>
    <row r="1052" spans="1:4" x14ac:dyDescent="0.3">
      <c r="A1052" s="59"/>
      <c r="B1052" s="58"/>
      <c r="C1052" s="60"/>
      <c r="D1052" s="56"/>
    </row>
    <row r="1053" spans="1:4" x14ac:dyDescent="0.3">
      <c r="A1053" s="59"/>
      <c r="B1053" s="58"/>
      <c r="C1053" s="60"/>
      <c r="D1053" s="56"/>
    </row>
    <row r="1054" spans="1:4" x14ac:dyDescent="0.3">
      <c r="A1054" s="59"/>
      <c r="B1054" s="58"/>
      <c r="C1054" s="60"/>
      <c r="D1054" s="56"/>
    </row>
    <row r="1055" spans="1:4" x14ac:dyDescent="0.3">
      <c r="A1055" s="59"/>
      <c r="B1055" s="58"/>
      <c r="C1055" s="60"/>
      <c r="D1055" s="56"/>
    </row>
    <row r="1056" spans="1:4" x14ac:dyDescent="0.3">
      <c r="A1056" s="59"/>
      <c r="B1056" s="58"/>
      <c r="C1056" s="60"/>
      <c r="D1056" s="56"/>
    </row>
    <row r="1057" spans="1:4" x14ac:dyDescent="0.3">
      <c r="A1057" s="59"/>
      <c r="B1057" s="58"/>
      <c r="C1057" s="60"/>
      <c r="D1057" s="56"/>
    </row>
    <row r="1058" spans="1:4" x14ac:dyDescent="0.3">
      <c r="A1058" s="59"/>
      <c r="B1058" s="58"/>
      <c r="C1058" s="60"/>
      <c r="D1058" s="56"/>
    </row>
    <row r="1059" spans="1:4" x14ac:dyDescent="0.3">
      <c r="A1059" s="59"/>
      <c r="B1059" s="58"/>
      <c r="C1059" s="60"/>
      <c r="D1059" s="56"/>
    </row>
    <row r="1060" spans="1:4" x14ac:dyDescent="0.3">
      <c r="A1060" s="59"/>
      <c r="B1060" s="58"/>
      <c r="C1060" s="60"/>
      <c r="D1060" s="56"/>
    </row>
    <row r="1061" spans="1:4" x14ac:dyDescent="0.3">
      <c r="A1061" s="59"/>
      <c r="B1061" s="58"/>
      <c r="C1061" s="60"/>
      <c r="D1061" s="56"/>
    </row>
    <row r="1062" spans="1:4" x14ac:dyDescent="0.3">
      <c r="A1062" s="59"/>
      <c r="B1062" s="58"/>
      <c r="C1062" s="60"/>
      <c r="D1062" s="56"/>
    </row>
    <row r="1063" spans="1:4" x14ac:dyDescent="0.3">
      <c r="A1063" s="59"/>
      <c r="B1063" s="58"/>
      <c r="C1063" s="60"/>
      <c r="D1063" s="56"/>
    </row>
    <row r="1064" spans="1:4" x14ac:dyDescent="0.3">
      <c r="A1064" s="59"/>
      <c r="B1064" s="58"/>
      <c r="C1064" s="60"/>
      <c r="D1064" s="56"/>
    </row>
    <row r="1065" spans="1:4" x14ac:dyDescent="0.3">
      <c r="A1065" s="59"/>
      <c r="B1065" s="58"/>
      <c r="C1065" s="60"/>
      <c r="D1065" s="56"/>
    </row>
    <row r="1066" spans="1:4" x14ac:dyDescent="0.3">
      <c r="A1066" s="59"/>
      <c r="B1066" s="58"/>
      <c r="C1066" s="60"/>
      <c r="D1066" s="56"/>
    </row>
    <row r="1067" spans="1:4" x14ac:dyDescent="0.3">
      <c r="A1067" s="59"/>
      <c r="B1067" s="58"/>
      <c r="C1067" s="60"/>
      <c r="D1067" s="56"/>
    </row>
    <row r="1068" spans="1:4" x14ac:dyDescent="0.3">
      <c r="A1068" s="59"/>
      <c r="B1068" s="58"/>
      <c r="C1068" s="60"/>
      <c r="D1068" s="56"/>
    </row>
    <row r="1069" spans="1:4" x14ac:dyDescent="0.3">
      <c r="A1069" s="59"/>
      <c r="B1069" s="58"/>
      <c r="C1069" s="60"/>
      <c r="D1069" s="56"/>
    </row>
    <row r="1070" spans="1:4" x14ac:dyDescent="0.3">
      <c r="A1070" s="59"/>
      <c r="B1070" s="58"/>
      <c r="C1070" s="60"/>
      <c r="D1070" s="56"/>
    </row>
    <row r="1071" spans="1:4" x14ac:dyDescent="0.3">
      <c r="A1071" s="59"/>
      <c r="B1071" s="58"/>
      <c r="C1071" s="60"/>
      <c r="D1071" s="56"/>
    </row>
    <row r="1072" spans="1:4" x14ac:dyDescent="0.3">
      <c r="A1072" s="59"/>
      <c r="B1072" s="58"/>
      <c r="C1072" s="60"/>
      <c r="D1072" s="56"/>
    </row>
    <row r="1073" spans="1:4" x14ac:dyDescent="0.3">
      <c r="A1073" s="59"/>
      <c r="B1073" s="58"/>
      <c r="C1073" s="60"/>
      <c r="D1073" s="56"/>
    </row>
    <row r="1074" spans="1:4" x14ac:dyDescent="0.3">
      <c r="A1074" s="59"/>
      <c r="B1074" s="58"/>
      <c r="C1074" s="60"/>
      <c r="D1074" s="56"/>
    </row>
    <row r="1075" spans="1:4" x14ac:dyDescent="0.3">
      <c r="A1075" s="59"/>
      <c r="B1075" s="58"/>
      <c r="C1075" s="60"/>
      <c r="D1075" s="56"/>
    </row>
    <row r="1076" spans="1:4" x14ac:dyDescent="0.3">
      <c r="A1076" s="59"/>
      <c r="B1076" s="58"/>
      <c r="C1076" s="60"/>
      <c r="D1076" s="56"/>
    </row>
    <row r="1077" spans="1:4" x14ac:dyDescent="0.3">
      <c r="A1077" s="59"/>
      <c r="B1077" s="58"/>
      <c r="C1077" s="60"/>
      <c r="D1077" s="56"/>
    </row>
    <row r="1078" spans="1:4" x14ac:dyDescent="0.3">
      <c r="A1078" s="59"/>
      <c r="B1078" s="58"/>
      <c r="C1078" s="60"/>
      <c r="D1078" s="56"/>
    </row>
    <row r="1079" spans="1:4" x14ac:dyDescent="0.3">
      <c r="A1079" s="59"/>
      <c r="B1079" s="58"/>
      <c r="C1079" s="60"/>
      <c r="D1079" s="56"/>
    </row>
    <row r="1080" spans="1:4" x14ac:dyDescent="0.3">
      <c r="A1080" s="59"/>
      <c r="B1080" s="58"/>
      <c r="C1080" s="60"/>
      <c r="D1080" s="56"/>
    </row>
    <row r="1081" spans="1:4" x14ac:dyDescent="0.3">
      <c r="A1081" s="59"/>
      <c r="B1081" s="58"/>
      <c r="C1081" s="60"/>
      <c r="D1081" s="56"/>
    </row>
    <row r="1082" spans="1:4" x14ac:dyDescent="0.3">
      <c r="A1082" s="59"/>
      <c r="B1082" s="58"/>
      <c r="C1082" s="60"/>
      <c r="D1082" s="56"/>
    </row>
    <row r="1083" spans="1:4" x14ac:dyDescent="0.3">
      <c r="A1083" s="59"/>
      <c r="B1083" s="58"/>
      <c r="C1083" s="60"/>
      <c r="D1083" s="56"/>
    </row>
    <row r="1084" spans="1:4" x14ac:dyDescent="0.3">
      <c r="A1084" s="59"/>
      <c r="B1084" s="58"/>
      <c r="C1084" s="60"/>
      <c r="D1084" s="56"/>
    </row>
    <row r="1085" spans="1:4" x14ac:dyDescent="0.3">
      <c r="A1085" s="59"/>
      <c r="B1085" s="58"/>
      <c r="C1085" s="60"/>
      <c r="D1085" s="56"/>
    </row>
    <row r="1086" spans="1:4" x14ac:dyDescent="0.3">
      <c r="A1086" s="59"/>
      <c r="B1086" s="58"/>
      <c r="C1086" s="60"/>
      <c r="D1086" s="56"/>
    </row>
    <row r="1087" spans="1:4" x14ac:dyDescent="0.3">
      <c r="A1087" s="59"/>
      <c r="B1087" s="58"/>
      <c r="C1087" s="60"/>
      <c r="D1087" s="56"/>
    </row>
    <row r="1088" spans="1:4" x14ac:dyDescent="0.3">
      <c r="A1088" s="59"/>
      <c r="B1088" s="58"/>
      <c r="C1088" s="60"/>
      <c r="D1088" s="56"/>
    </row>
    <row r="1089" spans="1:4" x14ac:dyDescent="0.3">
      <c r="A1089" s="59"/>
      <c r="B1089" s="58"/>
      <c r="C1089" s="60"/>
      <c r="D1089" s="56"/>
    </row>
    <row r="1090" spans="1:4" x14ac:dyDescent="0.3">
      <c r="A1090" s="59"/>
      <c r="B1090" s="58"/>
      <c r="C1090" s="60"/>
      <c r="D1090" s="56"/>
    </row>
    <row r="1091" spans="1:4" x14ac:dyDescent="0.3">
      <c r="A1091" s="59"/>
      <c r="B1091" s="58"/>
      <c r="C1091" s="60"/>
      <c r="D1091" s="56"/>
    </row>
    <row r="1092" spans="1:4" x14ac:dyDescent="0.3">
      <c r="A1092" s="59"/>
      <c r="B1092" s="58"/>
      <c r="C1092" s="60"/>
      <c r="D1092" s="56"/>
    </row>
    <row r="1093" spans="1:4" x14ac:dyDescent="0.3">
      <c r="A1093" s="59"/>
      <c r="B1093" s="58"/>
      <c r="C1093" s="60"/>
      <c r="D1093" s="56"/>
    </row>
    <row r="1094" spans="1:4" x14ac:dyDescent="0.3">
      <c r="A1094" s="59"/>
      <c r="B1094" s="58"/>
      <c r="C1094" s="60"/>
      <c r="D1094" s="56"/>
    </row>
    <row r="1095" spans="1:4" x14ac:dyDescent="0.3">
      <c r="A1095" s="59"/>
      <c r="B1095" s="58"/>
      <c r="C1095" s="60"/>
      <c r="D1095" s="56"/>
    </row>
    <row r="1096" spans="1:4" x14ac:dyDescent="0.3">
      <c r="A1096" s="59"/>
      <c r="B1096" s="58"/>
      <c r="C1096" s="60"/>
      <c r="D1096" s="56"/>
    </row>
    <row r="1097" spans="1:4" x14ac:dyDescent="0.3">
      <c r="A1097" s="59"/>
      <c r="B1097" s="58"/>
      <c r="C1097" s="60"/>
      <c r="D1097" s="56"/>
    </row>
    <row r="1098" spans="1:4" x14ac:dyDescent="0.3">
      <c r="A1098" s="59"/>
      <c r="B1098" s="58"/>
      <c r="C1098" s="60"/>
      <c r="D1098" s="56"/>
    </row>
    <row r="1099" spans="1:4" x14ac:dyDescent="0.3">
      <c r="A1099" s="59"/>
      <c r="B1099" s="58"/>
      <c r="C1099" s="60"/>
      <c r="D1099" s="56"/>
    </row>
    <row r="1100" spans="1:4" x14ac:dyDescent="0.3">
      <c r="A1100" s="59"/>
      <c r="B1100" s="58"/>
      <c r="C1100" s="60"/>
      <c r="D1100" s="56"/>
    </row>
    <row r="1101" spans="1:4" x14ac:dyDescent="0.3">
      <c r="A1101" s="59"/>
      <c r="B1101" s="58"/>
      <c r="C1101" s="60"/>
      <c r="D1101" s="56"/>
    </row>
    <row r="1102" spans="1:4" x14ac:dyDescent="0.3">
      <c r="A1102" s="59"/>
      <c r="B1102" s="58"/>
      <c r="C1102" s="60"/>
      <c r="D1102" s="56"/>
    </row>
    <row r="1103" spans="1:4" x14ac:dyDescent="0.3">
      <c r="A1103" s="59"/>
      <c r="B1103" s="58"/>
      <c r="C1103" s="60"/>
      <c r="D1103" s="56"/>
    </row>
    <row r="1104" spans="1:4" x14ac:dyDescent="0.3">
      <c r="A1104" s="59"/>
      <c r="B1104" s="58"/>
      <c r="C1104" s="60"/>
      <c r="D1104" s="56"/>
    </row>
    <row r="1105" spans="1:4" x14ac:dyDescent="0.3">
      <c r="A1105" s="59"/>
      <c r="B1105" s="58"/>
      <c r="C1105" s="60"/>
      <c r="D1105" s="56"/>
    </row>
    <row r="1106" spans="1:4" x14ac:dyDescent="0.3">
      <c r="A1106" s="59"/>
      <c r="B1106" s="58"/>
      <c r="C1106" s="60"/>
      <c r="D1106" s="56"/>
    </row>
    <row r="1107" spans="1:4" x14ac:dyDescent="0.3">
      <c r="A1107" s="59"/>
      <c r="B1107" s="58"/>
      <c r="C1107" s="60"/>
      <c r="D1107" s="56"/>
    </row>
    <row r="1108" spans="1:4" x14ac:dyDescent="0.3">
      <c r="A1108" s="59"/>
      <c r="B1108" s="58"/>
      <c r="C1108" s="60"/>
      <c r="D1108" s="56"/>
    </row>
    <row r="1109" spans="1:4" x14ac:dyDescent="0.3">
      <c r="A1109" s="59"/>
      <c r="B1109" s="58"/>
      <c r="C1109" s="60"/>
      <c r="D1109" s="56"/>
    </row>
    <row r="1110" spans="1:4" x14ac:dyDescent="0.3">
      <c r="A1110" s="59"/>
      <c r="B1110" s="58"/>
      <c r="C1110" s="60"/>
      <c r="D1110" s="56"/>
    </row>
    <row r="1111" spans="1:4" x14ac:dyDescent="0.3">
      <c r="A1111" s="59"/>
      <c r="B1111" s="58"/>
      <c r="C1111" s="60"/>
      <c r="D1111" s="56"/>
    </row>
    <row r="1112" spans="1:4" x14ac:dyDescent="0.3">
      <c r="A1112" s="59"/>
      <c r="B1112" s="58"/>
      <c r="C1112" s="60"/>
      <c r="D1112" s="56"/>
    </row>
    <row r="1113" spans="1:4" x14ac:dyDescent="0.3">
      <c r="A1113" s="59"/>
      <c r="B1113" s="58"/>
      <c r="C1113" s="60"/>
      <c r="D1113" s="56"/>
    </row>
    <row r="1114" spans="1:4" x14ac:dyDescent="0.3">
      <c r="A1114" s="59"/>
      <c r="B1114" s="58"/>
      <c r="C1114" s="60"/>
      <c r="D1114" s="56"/>
    </row>
    <row r="1115" spans="1:4" x14ac:dyDescent="0.3">
      <c r="A1115" s="59"/>
      <c r="B1115" s="58"/>
      <c r="C1115" s="60"/>
      <c r="D1115" s="56"/>
    </row>
    <row r="1116" spans="1:4" x14ac:dyDescent="0.3">
      <c r="A1116" s="59"/>
      <c r="B1116" s="58"/>
      <c r="C1116" s="60"/>
      <c r="D1116" s="56"/>
    </row>
    <row r="1117" spans="1:4" x14ac:dyDescent="0.3">
      <c r="A1117" s="59"/>
      <c r="B1117" s="58"/>
      <c r="C1117" s="60"/>
      <c r="D1117" s="56"/>
    </row>
    <row r="1118" spans="1:4" x14ac:dyDescent="0.3">
      <c r="A1118" s="59"/>
      <c r="B1118" s="58"/>
      <c r="C1118" s="60"/>
      <c r="D1118" s="56"/>
    </row>
    <row r="1119" spans="1:4" x14ac:dyDescent="0.3">
      <c r="A1119" s="59"/>
      <c r="B1119" s="58"/>
      <c r="C1119" s="60"/>
      <c r="D1119" s="56"/>
    </row>
    <row r="1120" spans="1:4" x14ac:dyDescent="0.3">
      <c r="A1120" s="59"/>
      <c r="B1120" s="58"/>
      <c r="C1120" s="60"/>
      <c r="D1120" s="56"/>
    </row>
    <row r="1121" spans="1:4" x14ac:dyDescent="0.3">
      <c r="A1121" s="59"/>
      <c r="B1121" s="58"/>
      <c r="C1121" s="60"/>
      <c r="D1121" s="56"/>
    </row>
    <row r="1122" spans="1:4" x14ac:dyDescent="0.3">
      <c r="A1122" s="59"/>
      <c r="B1122" s="58"/>
      <c r="C1122" s="60"/>
      <c r="D1122" s="56"/>
    </row>
    <row r="1123" spans="1:4" x14ac:dyDescent="0.3">
      <c r="A1123" s="59"/>
      <c r="B1123" s="58"/>
      <c r="C1123" s="60"/>
      <c r="D1123" s="56"/>
    </row>
    <row r="1124" spans="1:4" x14ac:dyDescent="0.3">
      <c r="A1124" s="59"/>
      <c r="B1124" s="58"/>
      <c r="C1124" s="60"/>
      <c r="D1124" s="56"/>
    </row>
    <row r="1125" spans="1:4" x14ac:dyDescent="0.3">
      <c r="A1125" s="59"/>
      <c r="B1125" s="58"/>
      <c r="C1125" s="60"/>
      <c r="D1125" s="56"/>
    </row>
    <row r="1126" spans="1:4" x14ac:dyDescent="0.3">
      <c r="A1126" s="59"/>
      <c r="B1126" s="58"/>
      <c r="C1126" s="60"/>
      <c r="D1126" s="56"/>
    </row>
    <row r="1127" spans="1:4" x14ac:dyDescent="0.3">
      <c r="A1127" s="59"/>
      <c r="B1127" s="58"/>
      <c r="C1127" s="60"/>
      <c r="D1127" s="56"/>
    </row>
    <row r="1128" spans="1:4" x14ac:dyDescent="0.3">
      <c r="A1128" s="59"/>
      <c r="B1128" s="58"/>
      <c r="C1128" s="60"/>
      <c r="D1128" s="56"/>
    </row>
    <row r="1129" spans="1:4" x14ac:dyDescent="0.3">
      <c r="A1129" s="59"/>
      <c r="B1129" s="58"/>
      <c r="C1129" s="60"/>
      <c r="D1129" s="56"/>
    </row>
    <row r="1130" spans="1:4" x14ac:dyDescent="0.3">
      <c r="A1130" s="59"/>
      <c r="B1130" s="58"/>
      <c r="C1130" s="60"/>
      <c r="D1130" s="56"/>
    </row>
    <row r="1131" spans="1:4" x14ac:dyDescent="0.3">
      <c r="A1131" s="59"/>
      <c r="B1131" s="58"/>
      <c r="C1131" s="60"/>
      <c r="D1131" s="56"/>
    </row>
    <row r="1132" spans="1:4" x14ac:dyDescent="0.3">
      <c r="A1132" s="59"/>
      <c r="B1132" s="58"/>
      <c r="C1132" s="60"/>
      <c r="D1132" s="56"/>
    </row>
    <row r="1133" spans="1:4" x14ac:dyDescent="0.3">
      <c r="A1133" s="59"/>
      <c r="B1133" s="58"/>
      <c r="C1133" s="60"/>
      <c r="D1133" s="56"/>
    </row>
    <row r="1134" spans="1:4" x14ac:dyDescent="0.3">
      <c r="A1134" s="59"/>
      <c r="B1134" s="58"/>
      <c r="C1134" s="60"/>
      <c r="D1134" s="56"/>
    </row>
    <row r="1135" spans="1:4" x14ac:dyDescent="0.3">
      <c r="A1135" s="59"/>
      <c r="B1135" s="58"/>
      <c r="C1135" s="60"/>
      <c r="D1135" s="56"/>
    </row>
    <row r="1136" spans="1:4" x14ac:dyDescent="0.3">
      <c r="A1136" s="59"/>
      <c r="B1136" s="58"/>
      <c r="C1136" s="60"/>
      <c r="D1136" s="56"/>
    </row>
    <row r="1137" spans="1:4" x14ac:dyDescent="0.3">
      <c r="A1137" s="59"/>
      <c r="B1137" s="58"/>
      <c r="C1137" s="60"/>
      <c r="D1137" s="56"/>
    </row>
    <row r="1138" spans="1:4" x14ac:dyDescent="0.3">
      <c r="A1138" s="59"/>
      <c r="B1138" s="58"/>
      <c r="C1138" s="60"/>
      <c r="D1138" s="56"/>
    </row>
    <row r="1139" spans="1:4" x14ac:dyDescent="0.3">
      <c r="A1139" s="59"/>
      <c r="B1139" s="58"/>
      <c r="C1139" s="60"/>
      <c r="D1139" s="56"/>
    </row>
    <row r="1140" spans="1:4" x14ac:dyDescent="0.3">
      <c r="A1140" s="59"/>
      <c r="B1140" s="58"/>
      <c r="C1140" s="60"/>
      <c r="D1140" s="56"/>
    </row>
    <row r="1141" spans="1:4" x14ac:dyDescent="0.3">
      <c r="A1141" s="59"/>
      <c r="B1141" s="58"/>
      <c r="C1141" s="60"/>
      <c r="D1141" s="56"/>
    </row>
    <row r="1142" spans="1:4" x14ac:dyDescent="0.3">
      <c r="A1142" s="59"/>
      <c r="B1142" s="58"/>
      <c r="C1142" s="60"/>
      <c r="D1142" s="56"/>
    </row>
    <row r="1143" spans="1:4" x14ac:dyDescent="0.3">
      <c r="A1143" s="59"/>
      <c r="B1143" s="58"/>
      <c r="C1143" s="60"/>
      <c r="D1143" s="56"/>
    </row>
    <row r="1144" spans="1:4" x14ac:dyDescent="0.3">
      <c r="A1144" s="59"/>
      <c r="B1144" s="58"/>
      <c r="C1144" s="60"/>
      <c r="D1144" s="56"/>
    </row>
    <row r="1145" spans="1:4" x14ac:dyDescent="0.3">
      <c r="A1145" s="59"/>
      <c r="B1145" s="58"/>
      <c r="C1145" s="60"/>
      <c r="D1145" s="56"/>
    </row>
    <row r="1146" spans="1:4" x14ac:dyDescent="0.3">
      <c r="A1146" s="59"/>
      <c r="B1146" s="58"/>
      <c r="C1146" s="60"/>
      <c r="D1146" s="56"/>
    </row>
    <row r="1147" spans="1:4" x14ac:dyDescent="0.3">
      <c r="A1147" s="59"/>
      <c r="B1147" s="58"/>
      <c r="C1147" s="60"/>
      <c r="D1147" s="56"/>
    </row>
    <row r="1148" spans="1:4" x14ac:dyDescent="0.3">
      <c r="A1148" s="59"/>
      <c r="B1148" s="58"/>
      <c r="C1148" s="60"/>
      <c r="D1148" s="56"/>
    </row>
    <row r="1149" spans="1:4" x14ac:dyDescent="0.3">
      <c r="A1149" s="59"/>
      <c r="B1149" s="58"/>
      <c r="C1149" s="60"/>
      <c r="D1149" s="56"/>
    </row>
    <row r="1150" spans="1:4" x14ac:dyDescent="0.3">
      <c r="A1150" s="59"/>
      <c r="B1150" s="58"/>
      <c r="C1150" s="60"/>
      <c r="D1150" s="56"/>
    </row>
    <row r="1151" spans="1:4" x14ac:dyDescent="0.3">
      <c r="A1151" s="59"/>
      <c r="B1151" s="58"/>
      <c r="C1151" s="60"/>
      <c r="D1151" s="56"/>
    </row>
    <row r="1152" spans="1:4" x14ac:dyDescent="0.3">
      <c r="A1152" s="59"/>
      <c r="B1152" s="58"/>
      <c r="C1152" s="60"/>
      <c r="D1152" s="56"/>
    </row>
    <row r="1153" spans="1:4" x14ac:dyDescent="0.3">
      <c r="A1153" s="59"/>
      <c r="B1153" s="58"/>
      <c r="C1153" s="60"/>
      <c r="D1153" s="56"/>
    </row>
    <row r="1154" spans="1:4" x14ac:dyDescent="0.3">
      <c r="A1154" s="59"/>
      <c r="B1154" s="58"/>
      <c r="C1154" s="60"/>
      <c r="D1154" s="56"/>
    </row>
    <row r="1155" spans="1:4" x14ac:dyDescent="0.3">
      <c r="A1155" s="59"/>
      <c r="B1155" s="58"/>
      <c r="C1155" s="60"/>
      <c r="D1155" s="56"/>
    </row>
    <row r="1156" spans="1:4" x14ac:dyDescent="0.3">
      <c r="A1156" s="59"/>
      <c r="B1156" s="58"/>
      <c r="C1156" s="60"/>
      <c r="D1156" s="56"/>
    </row>
    <row r="1157" spans="1:4" x14ac:dyDescent="0.3">
      <c r="A1157" s="59"/>
      <c r="B1157" s="58"/>
      <c r="C1157" s="60"/>
      <c r="D1157" s="56"/>
    </row>
    <row r="1158" spans="1:4" x14ac:dyDescent="0.3">
      <c r="A1158" s="59"/>
      <c r="B1158" s="58"/>
      <c r="C1158" s="60"/>
      <c r="D1158" s="56"/>
    </row>
    <row r="1159" spans="1:4" x14ac:dyDescent="0.3">
      <c r="A1159" s="59"/>
      <c r="B1159" s="58"/>
      <c r="C1159" s="60"/>
      <c r="D1159" s="56"/>
    </row>
    <row r="1160" spans="1:4" x14ac:dyDescent="0.3">
      <c r="A1160" s="59"/>
      <c r="B1160" s="58"/>
      <c r="C1160" s="60"/>
      <c r="D1160" s="56"/>
    </row>
    <row r="1161" spans="1:4" x14ac:dyDescent="0.3">
      <c r="A1161" s="59"/>
      <c r="B1161" s="58"/>
      <c r="C1161" s="60"/>
      <c r="D1161" s="56"/>
    </row>
    <row r="1162" spans="1:4" x14ac:dyDescent="0.3">
      <c r="A1162" s="59"/>
      <c r="B1162" s="58"/>
      <c r="C1162" s="60"/>
      <c r="D1162" s="56"/>
    </row>
    <row r="1163" spans="1:4" x14ac:dyDescent="0.3">
      <c r="A1163" s="59"/>
      <c r="B1163" s="58"/>
      <c r="C1163" s="60"/>
      <c r="D1163" s="56"/>
    </row>
    <row r="1164" spans="1:4" x14ac:dyDescent="0.3">
      <c r="A1164" s="59"/>
      <c r="B1164" s="58"/>
      <c r="C1164" s="60"/>
      <c r="D1164" s="56"/>
    </row>
    <row r="1165" spans="1:4" x14ac:dyDescent="0.3">
      <c r="A1165" s="59"/>
      <c r="B1165" s="58"/>
      <c r="C1165" s="60"/>
      <c r="D1165" s="56"/>
    </row>
    <row r="1166" spans="1:4" x14ac:dyDescent="0.3">
      <c r="A1166" s="59"/>
      <c r="B1166" s="58"/>
      <c r="C1166" s="60"/>
      <c r="D1166" s="56"/>
    </row>
    <row r="1167" spans="1:4" x14ac:dyDescent="0.3">
      <c r="A1167" s="59"/>
      <c r="B1167" s="58"/>
      <c r="C1167" s="60"/>
      <c r="D1167" s="56"/>
    </row>
    <row r="1168" spans="1:4" x14ac:dyDescent="0.3">
      <c r="A1168" s="59"/>
      <c r="B1168" s="58"/>
      <c r="C1168" s="60"/>
      <c r="D1168" s="56"/>
    </row>
    <row r="1169" spans="1:4" x14ac:dyDescent="0.3">
      <c r="A1169" s="59"/>
      <c r="B1169" s="58"/>
      <c r="C1169" s="60"/>
      <c r="D1169" s="56"/>
    </row>
    <row r="1170" spans="1:4" x14ac:dyDescent="0.3">
      <c r="A1170" s="59"/>
      <c r="B1170" s="58"/>
      <c r="C1170" s="60"/>
      <c r="D1170" s="56"/>
    </row>
    <row r="1171" spans="1:4" x14ac:dyDescent="0.3">
      <c r="A1171" s="59"/>
      <c r="B1171" s="58"/>
      <c r="C1171" s="60"/>
      <c r="D1171" s="56"/>
    </row>
    <row r="1172" spans="1:4" x14ac:dyDescent="0.3">
      <c r="A1172" s="59"/>
      <c r="B1172" s="58"/>
      <c r="C1172" s="60"/>
      <c r="D1172" s="56"/>
    </row>
    <row r="1173" spans="1:4" x14ac:dyDescent="0.3">
      <c r="A1173" s="59"/>
      <c r="B1173" s="58"/>
      <c r="C1173" s="60"/>
      <c r="D1173" s="56"/>
    </row>
    <row r="1174" spans="1:4" x14ac:dyDescent="0.3">
      <c r="A1174" s="59"/>
      <c r="B1174" s="58"/>
      <c r="C1174" s="60"/>
      <c r="D1174" s="56"/>
    </row>
    <row r="1175" spans="1:4" x14ac:dyDescent="0.3">
      <c r="A1175" s="59"/>
      <c r="B1175" s="58"/>
      <c r="C1175" s="60"/>
      <c r="D1175" s="56"/>
    </row>
    <row r="1176" spans="1:4" x14ac:dyDescent="0.3">
      <c r="A1176" s="59"/>
      <c r="B1176" s="58"/>
      <c r="C1176" s="60"/>
      <c r="D1176" s="56"/>
    </row>
    <row r="1177" spans="1:4" x14ac:dyDescent="0.3">
      <c r="A1177" s="59"/>
      <c r="B1177" s="58"/>
      <c r="C1177" s="60"/>
      <c r="D1177" s="56"/>
    </row>
    <row r="1178" spans="1:4" x14ac:dyDescent="0.3">
      <c r="A1178" s="59"/>
      <c r="B1178" s="58"/>
      <c r="C1178" s="60"/>
      <c r="D1178" s="56"/>
    </row>
    <row r="1179" spans="1:4" x14ac:dyDescent="0.3">
      <c r="A1179" s="59"/>
      <c r="B1179" s="58"/>
      <c r="C1179" s="60"/>
      <c r="D1179" s="56"/>
    </row>
    <row r="1180" spans="1:4" x14ac:dyDescent="0.3">
      <c r="A1180" s="59"/>
      <c r="B1180" s="58"/>
      <c r="C1180" s="60"/>
      <c r="D1180" s="56"/>
    </row>
    <row r="1181" spans="1:4" x14ac:dyDescent="0.3">
      <c r="A1181" s="59"/>
      <c r="B1181" s="58"/>
      <c r="C1181" s="60"/>
      <c r="D1181" s="56"/>
    </row>
    <row r="1182" spans="1:4" x14ac:dyDescent="0.3">
      <c r="A1182" s="59"/>
      <c r="B1182" s="58"/>
      <c r="C1182" s="60"/>
      <c r="D1182" s="56"/>
    </row>
    <row r="1183" spans="1:4" x14ac:dyDescent="0.3">
      <c r="A1183" s="59"/>
      <c r="B1183" s="58"/>
      <c r="C1183" s="60"/>
      <c r="D1183" s="56"/>
    </row>
    <row r="1184" spans="1:4" x14ac:dyDescent="0.3">
      <c r="A1184" s="59"/>
      <c r="B1184" s="58"/>
      <c r="C1184" s="60"/>
      <c r="D1184" s="56"/>
    </row>
    <row r="1185" spans="1:4" x14ac:dyDescent="0.3">
      <c r="A1185" s="59"/>
      <c r="B1185" s="58"/>
      <c r="C1185" s="60"/>
      <c r="D1185" s="56"/>
    </row>
    <row r="1186" spans="1:4" x14ac:dyDescent="0.3">
      <c r="A1186" s="59"/>
      <c r="B1186" s="58"/>
      <c r="C1186" s="60"/>
      <c r="D1186" s="56"/>
    </row>
    <row r="1187" spans="1:4" x14ac:dyDescent="0.3">
      <c r="A1187" s="59"/>
      <c r="B1187" s="58"/>
      <c r="C1187" s="60"/>
      <c r="D1187" s="56"/>
    </row>
    <row r="1188" spans="1:4" x14ac:dyDescent="0.3">
      <c r="A1188" s="59"/>
      <c r="B1188" s="58"/>
      <c r="C1188" s="60"/>
      <c r="D1188" s="56"/>
    </row>
    <row r="1189" spans="1:4" x14ac:dyDescent="0.3">
      <c r="A1189" s="59"/>
      <c r="B1189" s="58"/>
      <c r="C1189" s="60"/>
      <c r="D1189" s="56"/>
    </row>
    <row r="1190" spans="1:4" x14ac:dyDescent="0.3">
      <c r="A1190" s="59"/>
      <c r="B1190" s="58"/>
      <c r="C1190" s="60"/>
      <c r="D1190" s="56"/>
    </row>
    <row r="1191" spans="1:4" x14ac:dyDescent="0.3">
      <c r="A1191" s="59"/>
      <c r="B1191" s="58"/>
      <c r="C1191" s="60"/>
      <c r="D1191" s="56"/>
    </row>
    <row r="1192" spans="1:4" x14ac:dyDescent="0.3">
      <c r="A1192" s="59"/>
      <c r="B1192" s="58"/>
      <c r="C1192" s="60"/>
      <c r="D1192" s="56"/>
    </row>
    <row r="1193" spans="1:4" x14ac:dyDescent="0.3">
      <c r="A1193" s="59"/>
      <c r="B1193" s="58"/>
      <c r="C1193" s="60"/>
      <c r="D1193" s="56"/>
    </row>
    <row r="1194" spans="1:4" x14ac:dyDescent="0.3">
      <c r="A1194" s="59"/>
      <c r="B1194" s="58"/>
      <c r="C1194" s="60"/>
      <c r="D1194" s="56"/>
    </row>
    <row r="1195" spans="1:4" x14ac:dyDescent="0.3">
      <c r="A1195" s="59"/>
      <c r="B1195" s="58"/>
      <c r="C1195" s="60"/>
      <c r="D1195" s="56"/>
    </row>
    <row r="1196" spans="1:4" x14ac:dyDescent="0.3">
      <c r="A1196" s="59"/>
      <c r="B1196" s="58"/>
      <c r="C1196" s="60"/>
      <c r="D1196" s="56"/>
    </row>
    <row r="1197" spans="1:4" x14ac:dyDescent="0.3">
      <c r="A1197" s="59"/>
      <c r="B1197" s="58"/>
      <c r="C1197" s="60"/>
      <c r="D1197" s="56"/>
    </row>
    <row r="1198" spans="1:4" x14ac:dyDescent="0.3">
      <c r="A1198" s="59"/>
      <c r="B1198" s="58"/>
      <c r="C1198" s="60"/>
      <c r="D1198" s="56"/>
    </row>
    <row r="1199" spans="1:4" x14ac:dyDescent="0.3">
      <c r="A1199" s="59"/>
      <c r="B1199" s="58"/>
      <c r="C1199" s="60"/>
      <c r="D1199" s="56"/>
    </row>
    <row r="1200" spans="1:4" x14ac:dyDescent="0.3">
      <c r="A1200" s="59"/>
      <c r="B1200" s="58"/>
      <c r="C1200" s="60"/>
      <c r="D1200" s="56"/>
    </row>
    <row r="1201" spans="1:4" x14ac:dyDescent="0.3">
      <c r="A1201" s="59"/>
      <c r="B1201" s="58"/>
      <c r="C1201" s="60"/>
      <c r="D1201" s="56"/>
    </row>
    <row r="1202" spans="1:4" x14ac:dyDescent="0.3">
      <c r="A1202" s="59"/>
      <c r="B1202" s="58"/>
      <c r="C1202" s="60"/>
      <c r="D1202" s="56"/>
    </row>
    <row r="1203" spans="1:4" x14ac:dyDescent="0.3">
      <c r="A1203" s="59"/>
      <c r="B1203" s="58"/>
      <c r="C1203" s="60"/>
      <c r="D1203" s="56"/>
    </row>
    <row r="1204" spans="1:4" x14ac:dyDescent="0.3">
      <c r="A1204" s="59"/>
      <c r="B1204" s="58"/>
      <c r="C1204" s="60"/>
      <c r="D1204" s="56"/>
    </row>
    <row r="1205" spans="1:4" x14ac:dyDescent="0.3">
      <c r="A1205" s="59"/>
      <c r="B1205" s="58"/>
      <c r="C1205" s="60"/>
      <c r="D1205" s="56"/>
    </row>
    <row r="1206" spans="1:4" x14ac:dyDescent="0.3">
      <c r="A1206" s="59"/>
      <c r="B1206" s="58"/>
      <c r="C1206" s="60"/>
      <c r="D1206" s="56"/>
    </row>
    <row r="1207" spans="1:4" x14ac:dyDescent="0.3">
      <c r="A1207" s="59"/>
      <c r="B1207" s="58"/>
      <c r="C1207" s="60"/>
      <c r="D1207" s="56"/>
    </row>
    <row r="1208" spans="1:4" x14ac:dyDescent="0.3">
      <c r="A1208" s="59"/>
      <c r="B1208" s="58"/>
      <c r="C1208" s="60"/>
      <c r="D1208" s="56"/>
    </row>
    <row r="1209" spans="1:4" x14ac:dyDescent="0.3">
      <c r="A1209" s="59"/>
      <c r="B1209" s="58"/>
      <c r="C1209" s="60"/>
      <c r="D1209" s="56"/>
    </row>
    <row r="1210" spans="1:4" x14ac:dyDescent="0.3">
      <c r="A1210" s="59"/>
      <c r="B1210" s="58"/>
      <c r="C1210" s="60"/>
      <c r="D1210" s="56"/>
    </row>
    <row r="1211" spans="1:4" x14ac:dyDescent="0.3">
      <c r="A1211" s="59"/>
      <c r="B1211" s="58"/>
      <c r="C1211" s="60"/>
      <c r="D1211" s="56"/>
    </row>
    <row r="1212" spans="1:4" x14ac:dyDescent="0.3">
      <c r="A1212" s="59"/>
      <c r="B1212" s="58"/>
      <c r="C1212" s="60"/>
      <c r="D1212" s="56"/>
    </row>
    <row r="1213" spans="1:4" x14ac:dyDescent="0.3">
      <c r="A1213" s="59"/>
      <c r="B1213" s="58"/>
      <c r="C1213" s="60"/>
      <c r="D1213" s="56"/>
    </row>
    <row r="1214" spans="1:4" x14ac:dyDescent="0.3">
      <c r="A1214" s="59"/>
      <c r="B1214" s="58"/>
      <c r="C1214" s="60"/>
      <c r="D1214" s="56"/>
    </row>
    <row r="1215" spans="1:4" x14ac:dyDescent="0.3">
      <c r="A1215" s="59"/>
      <c r="B1215" s="58"/>
      <c r="C1215" s="60"/>
      <c r="D1215" s="56"/>
    </row>
    <row r="1216" spans="1:4" x14ac:dyDescent="0.3">
      <c r="A1216" s="59"/>
      <c r="B1216" s="58"/>
      <c r="C1216" s="60"/>
      <c r="D1216" s="56"/>
    </row>
    <row r="1217" spans="1:4" x14ac:dyDescent="0.3">
      <c r="A1217" s="59"/>
      <c r="B1217" s="58"/>
      <c r="C1217" s="60"/>
      <c r="D1217" s="56"/>
    </row>
    <row r="1218" spans="1:4" x14ac:dyDescent="0.3">
      <c r="A1218" s="59"/>
      <c r="B1218" s="58"/>
      <c r="C1218" s="60"/>
      <c r="D1218" s="56"/>
    </row>
    <row r="1219" spans="1:4" x14ac:dyDescent="0.3">
      <c r="A1219" s="59"/>
      <c r="B1219" s="58"/>
      <c r="C1219" s="60"/>
      <c r="D1219" s="56"/>
    </row>
    <row r="1220" spans="1:4" x14ac:dyDescent="0.3">
      <c r="A1220" s="59"/>
      <c r="B1220" s="58"/>
      <c r="C1220" s="60"/>
      <c r="D1220" s="56"/>
    </row>
    <row r="1221" spans="1:4" x14ac:dyDescent="0.3">
      <c r="A1221" s="59"/>
      <c r="B1221" s="58"/>
      <c r="C1221" s="60"/>
      <c r="D1221" s="56"/>
    </row>
    <row r="1222" spans="1:4" x14ac:dyDescent="0.3">
      <c r="A1222" s="59"/>
      <c r="B1222" s="58"/>
      <c r="C1222" s="60"/>
      <c r="D1222" s="56"/>
    </row>
    <row r="1223" spans="1:4" x14ac:dyDescent="0.3">
      <c r="A1223" s="59"/>
      <c r="B1223" s="58"/>
      <c r="C1223" s="60"/>
      <c r="D1223" s="56"/>
    </row>
    <row r="1224" spans="1:4" x14ac:dyDescent="0.3">
      <c r="A1224" s="59"/>
      <c r="B1224" s="58"/>
      <c r="C1224" s="60"/>
      <c r="D1224" s="56"/>
    </row>
    <row r="1225" spans="1:4" x14ac:dyDescent="0.3">
      <c r="A1225" s="59"/>
      <c r="B1225" s="58"/>
      <c r="C1225" s="60"/>
      <c r="D1225" s="56"/>
    </row>
    <row r="1226" spans="1:4" x14ac:dyDescent="0.3">
      <c r="A1226" s="59"/>
      <c r="B1226" s="58"/>
      <c r="C1226" s="60"/>
      <c r="D1226" s="56"/>
    </row>
    <row r="1227" spans="1:4" x14ac:dyDescent="0.3">
      <c r="A1227" s="59"/>
      <c r="B1227" s="58"/>
      <c r="C1227" s="60"/>
      <c r="D1227" s="56"/>
    </row>
    <row r="1228" spans="1:4" x14ac:dyDescent="0.3">
      <c r="A1228" s="59"/>
      <c r="B1228" s="58"/>
      <c r="C1228" s="60"/>
      <c r="D1228" s="56"/>
    </row>
    <row r="1229" spans="1:4" x14ac:dyDescent="0.3">
      <c r="A1229" s="59"/>
      <c r="B1229" s="58"/>
      <c r="C1229" s="60"/>
      <c r="D1229" s="56"/>
    </row>
    <row r="1230" spans="1:4" x14ac:dyDescent="0.3">
      <c r="A1230" s="59"/>
      <c r="B1230" s="58"/>
      <c r="C1230" s="60"/>
      <c r="D1230" s="56"/>
    </row>
    <row r="1231" spans="1:4" x14ac:dyDescent="0.3">
      <c r="A1231" s="59"/>
      <c r="B1231" s="58"/>
      <c r="C1231" s="60"/>
      <c r="D1231" s="56"/>
    </row>
    <row r="1232" spans="1:4" x14ac:dyDescent="0.3">
      <c r="A1232" s="59"/>
      <c r="B1232" s="58"/>
      <c r="C1232" s="60"/>
      <c r="D1232" s="56"/>
    </row>
    <row r="1233" spans="1:4" x14ac:dyDescent="0.3">
      <c r="A1233" s="59"/>
      <c r="B1233" s="58"/>
      <c r="C1233" s="60"/>
      <c r="D1233" s="56"/>
    </row>
    <row r="1234" spans="1:4" x14ac:dyDescent="0.3">
      <c r="A1234" s="59"/>
      <c r="B1234" s="58"/>
      <c r="C1234" s="60"/>
      <c r="D1234" s="56"/>
    </row>
    <row r="1235" spans="1:4" x14ac:dyDescent="0.3">
      <c r="A1235" s="59"/>
      <c r="B1235" s="58"/>
      <c r="C1235" s="60"/>
      <c r="D1235" s="56"/>
    </row>
    <row r="1236" spans="1:4" x14ac:dyDescent="0.3">
      <c r="A1236" s="59"/>
      <c r="B1236" s="58"/>
      <c r="C1236" s="60"/>
      <c r="D1236" s="56"/>
    </row>
    <row r="1237" spans="1:4" x14ac:dyDescent="0.3">
      <c r="A1237" s="59"/>
      <c r="B1237" s="58"/>
      <c r="C1237" s="60"/>
      <c r="D1237" s="56"/>
    </row>
    <row r="1238" spans="1:4" x14ac:dyDescent="0.3">
      <c r="A1238" s="59"/>
      <c r="B1238" s="58"/>
      <c r="C1238" s="60"/>
      <c r="D1238" s="56"/>
    </row>
    <row r="1239" spans="1:4" x14ac:dyDescent="0.3">
      <c r="A1239" s="59"/>
      <c r="B1239" s="58"/>
      <c r="C1239" s="60"/>
      <c r="D1239" s="56"/>
    </row>
    <row r="1240" spans="1:4" x14ac:dyDescent="0.3">
      <c r="A1240" s="59"/>
      <c r="B1240" s="58"/>
      <c r="C1240" s="60"/>
      <c r="D1240" s="56"/>
    </row>
    <row r="1241" spans="1:4" x14ac:dyDescent="0.3">
      <c r="A1241" s="59"/>
      <c r="B1241" s="58"/>
      <c r="C1241" s="60"/>
      <c r="D1241" s="56"/>
    </row>
    <row r="1242" spans="1:4" x14ac:dyDescent="0.3">
      <c r="A1242" s="59"/>
      <c r="B1242" s="58"/>
      <c r="C1242" s="60"/>
      <c r="D1242" s="56"/>
    </row>
    <row r="1243" spans="1:4" x14ac:dyDescent="0.3">
      <c r="A1243" s="59"/>
      <c r="B1243" s="58"/>
      <c r="C1243" s="60"/>
      <c r="D1243" s="56"/>
    </row>
    <row r="1244" spans="1:4" x14ac:dyDescent="0.3">
      <c r="A1244" s="59"/>
      <c r="B1244" s="58"/>
      <c r="C1244" s="60"/>
      <c r="D1244" s="56"/>
    </row>
    <row r="1245" spans="1:4" x14ac:dyDescent="0.3">
      <c r="A1245" s="59"/>
      <c r="B1245" s="58"/>
      <c r="C1245" s="60"/>
      <c r="D1245" s="56"/>
    </row>
    <row r="1246" spans="1:4" x14ac:dyDescent="0.3">
      <c r="A1246" s="59"/>
      <c r="B1246" s="58"/>
      <c r="C1246" s="60"/>
      <c r="D1246" s="56"/>
    </row>
    <row r="1247" spans="1:4" x14ac:dyDescent="0.3">
      <c r="A1247" s="59"/>
      <c r="B1247" s="58"/>
      <c r="C1247" s="60"/>
      <c r="D1247" s="56"/>
    </row>
    <row r="1248" spans="1:4" x14ac:dyDescent="0.3">
      <c r="A1248" s="59"/>
      <c r="B1248" s="58"/>
      <c r="C1248" s="60"/>
      <c r="D1248" s="56"/>
    </row>
    <row r="1249" spans="1:4" x14ac:dyDescent="0.3">
      <c r="A1249" s="59"/>
      <c r="B1249" s="58"/>
      <c r="C1249" s="60"/>
      <c r="D1249" s="56"/>
    </row>
    <row r="1250" spans="1:4" x14ac:dyDescent="0.3">
      <c r="A1250" s="59"/>
      <c r="B1250" s="58"/>
      <c r="C1250" s="60"/>
      <c r="D1250" s="56"/>
    </row>
    <row r="1251" spans="1:4" x14ac:dyDescent="0.3">
      <c r="A1251" s="59"/>
      <c r="B1251" s="58"/>
      <c r="C1251" s="60"/>
      <c r="D1251" s="56"/>
    </row>
    <row r="1252" spans="1:4" x14ac:dyDescent="0.3">
      <c r="A1252" s="59"/>
      <c r="B1252" s="58"/>
      <c r="C1252" s="60"/>
      <c r="D1252" s="56"/>
    </row>
    <row r="1253" spans="1:4" x14ac:dyDescent="0.3">
      <c r="A1253" s="59"/>
      <c r="B1253" s="58"/>
      <c r="C1253" s="60"/>
      <c r="D1253" s="56"/>
    </row>
    <row r="1254" spans="1:4" x14ac:dyDescent="0.3">
      <c r="A1254" s="59"/>
      <c r="B1254" s="58"/>
      <c r="C1254" s="60"/>
      <c r="D1254" s="56"/>
    </row>
    <row r="1255" spans="1:4" x14ac:dyDescent="0.3">
      <c r="A1255" s="59"/>
      <c r="B1255" s="58"/>
      <c r="C1255" s="60"/>
      <c r="D1255" s="56"/>
    </row>
    <row r="1256" spans="1:4" x14ac:dyDescent="0.3">
      <c r="A1256" s="59"/>
      <c r="B1256" s="58"/>
      <c r="C1256" s="60"/>
      <c r="D1256" s="56"/>
    </row>
    <row r="1257" spans="1:4" x14ac:dyDescent="0.3">
      <c r="A1257" s="59"/>
      <c r="B1257" s="58"/>
      <c r="C1257" s="60"/>
      <c r="D1257" s="56"/>
    </row>
    <row r="1258" spans="1:4" x14ac:dyDescent="0.3">
      <c r="A1258" s="59"/>
      <c r="B1258" s="58"/>
      <c r="C1258" s="60"/>
      <c r="D1258" s="56"/>
    </row>
    <row r="1259" spans="1:4" x14ac:dyDescent="0.3">
      <c r="A1259" s="59"/>
      <c r="B1259" s="58"/>
      <c r="C1259" s="60"/>
      <c r="D1259" s="56"/>
    </row>
    <row r="1260" spans="1:4" x14ac:dyDescent="0.3">
      <c r="A1260" s="59"/>
      <c r="B1260" s="58"/>
      <c r="C1260" s="60"/>
      <c r="D1260" s="56"/>
    </row>
    <row r="1261" spans="1:4" x14ac:dyDescent="0.3">
      <c r="A1261" s="59"/>
      <c r="B1261" s="58"/>
      <c r="C1261" s="60"/>
      <c r="D1261" s="56"/>
    </row>
    <row r="1262" spans="1:4" x14ac:dyDescent="0.3">
      <c r="A1262" s="59"/>
      <c r="B1262" s="58"/>
      <c r="C1262" s="60"/>
      <c r="D1262" s="56"/>
    </row>
    <row r="1263" spans="1:4" x14ac:dyDescent="0.3">
      <c r="A1263" s="59"/>
      <c r="B1263" s="58"/>
      <c r="C1263" s="60"/>
      <c r="D1263" s="56"/>
    </row>
    <row r="1264" spans="1:4" x14ac:dyDescent="0.3">
      <c r="A1264" s="59"/>
      <c r="B1264" s="58"/>
      <c r="C1264" s="60"/>
      <c r="D1264" s="56"/>
    </row>
    <row r="1265" spans="1:4" x14ac:dyDescent="0.3">
      <c r="A1265" s="59"/>
      <c r="B1265" s="58"/>
      <c r="C1265" s="60"/>
      <c r="D1265" s="56"/>
    </row>
    <row r="1266" spans="1:4" x14ac:dyDescent="0.3">
      <c r="A1266" s="59"/>
      <c r="B1266" s="58"/>
      <c r="C1266" s="60"/>
      <c r="D1266" s="56"/>
    </row>
    <row r="1267" spans="1:4" x14ac:dyDescent="0.3">
      <c r="A1267" s="59"/>
      <c r="B1267" s="58"/>
      <c r="C1267" s="60"/>
      <c r="D1267" s="56"/>
    </row>
    <row r="1268" spans="1:4" x14ac:dyDescent="0.3">
      <c r="A1268" s="59"/>
      <c r="B1268" s="58"/>
      <c r="C1268" s="60"/>
      <c r="D1268" s="56"/>
    </row>
    <row r="1269" spans="1:4" x14ac:dyDescent="0.3">
      <c r="A1269" s="59"/>
      <c r="B1269" s="58"/>
      <c r="C1269" s="60"/>
      <c r="D1269" s="56"/>
    </row>
    <row r="1270" spans="1:4" x14ac:dyDescent="0.3">
      <c r="A1270" s="59"/>
      <c r="B1270" s="58"/>
      <c r="C1270" s="60"/>
      <c r="D1270" s="56"/>
    </row>
    <row r="1271" spans="1:4" x14ac:dyDescent="0.3">
      <c r="A1271" s="59"/>
      <c r="B1271" s="58"/>
      <c r="C1271" s="60"/>
      <c r="D1271" s="56"/>
    </row>
    <row r="1272" spans="1:4" x14ac:dyDescent="0.3">
      <c r="A1272" s="59"/>
      <c r="B1272" s="58"/>
      <c r="C1272" s="60"/>
      <c r="D1272" s="56"/>
    </row>
    <row r="1273" spans="1:4" x14ac:dyDescent="0.3">
      <c r="A1273" s="59"/>
      <c r="B1273" s="58"/>
      <c r="C1273" s="60"/>
      <c r="D1273" s="56"/>
    </row>
    <row r="1274" spans="1:4" x14ac:dyDescent="0.3">
      <c r="A1274" s="59"/>
      <c r="B1274" s="58"/>
      <c r="C1274" s="60"/>
      <c r="D1274" s="56"/>
    </row>
    <row r="1275" spans="1:4" x14ac:dyDescent="0.3">
      <c r="A1275" s="59"/>
      <c r="B1275" s="58"/>
      <c r="C1275" s="60"/>
      <c r="D1275" s="56"/>
    </row>
    <row r="1276" spans="1:4" x14ac:dyDescent="0.3">
      <c r="A1276" s="59"/>
      <c r="B1276" s="58"/>
      <c r="C1276" s="60"/>
      <c r="D1276" s="56"/>
    </row>
    <row r="1277" spans="1:4" x14ac:dyDescent="0.3">
      <c r="A1277" s="59"/>
      <c r="B1277" s="58"/>
      <c r="C1277" s="60"/>
      <c r="D1277" s="56"/>
    </row>
    <row r="1278" spans="1:4" x14ac:dyDescent="0.3">
      <c r="A1278" s="59"/>
      <c r="B1278" s="58"/>
      <c r="C1278" s="60"/>
      <c r="D1278" s="56"/>
    </row>
    <row r="1279" spans="1:4" x14ac:dyDescent="0.3">
      <c r="A1279" s="59"/>
      <c r="B1279" s="58"/>
      <c r="C1279" s="60"/>
      <c r="D1279" s="56"/>
    </row>
    <row r="1280" spans="1:4" x14ac:dyDescent="0.3">
      <c r="A1280" s="59"/>
      <c r="B1280" s="58"/>
      <c r="C1280" s="60"/>
      <c r="D1280" s="56"/>
    </row>
    <row r="1281" spans="1:4" x14ac:dyDescent="0.3">
      <c r="A1281" s="59"/>
      <c r="B1281" s="58"/>
      <c r="C1281" s="60"/>
      <c r="D1281" s="56"/>
    </row>
    <row r="1282" spans="1:4" x14ac:dyDescent="0.3">
      <c r="A1282" s="59"/>
      <c r="B1282" s="58"/>
      <c r="C1282" s="60"/>
      <c r="D1282" s="56"/>
    </row>
    <row r="1283" spans="1:4" x14ac:dyDescent="0.3">
      <c r="A1283" s="59"/>
      <c r="B1283" s="58"/>
      <c r="C1283" s="60"/>
      <c r="D1283" s="56"/>
    </row>
    <row r="1284" spans="1:4" x14ac:dyDescent="0.3">
      <c r="A1284" s="59"/>
      <c r="B1284" s="58"/>
      <c r="C1284" s="60"/>
      <c r="D1284" s="56"/>
    </row>
    <row r="1285" spans="1:4" x14ac:dyDescent="0.3">
      <c r="A1285" s="59"/>
      <c r="B1285" s="58"/>
      <c r="C1285" s="60"/>
      <c r="D1285" s="56"/>
    </row>
    <row r="1286" spans="1:4" x14ac:dyDescent="0.3">
      <c r="A1286" s="59"/>
      <c r="B1286" s="58"/>
      <c r="C1286" s="60"/>
      <c r="D1286" s="56"/>
    </row>
    <row r="1287" spans="1:4" x14ac:dyDescent="0.3">
      <c r="A1287" s="59"/>
      <c r="B1287" s="58"/>
      <c r="C1287" s="60"/>
      <c r="D1287" s="56"/>
    </row>
    <row r="1288" spans="1:4" x14ac:dyDescent="0.3">
      <c r="A1288" s="59"/>
      <c r="B1288" s="58"/>
      <c r="C1288" s="60"/>
      <c r="D1288" s="56"/>
    </row>
    <row r="1289" spans="1:4" x14ac:dyDescent="0.3">
      <c r="A1289" s="59"/>
      <c r="B1289" s="58"/>
      <c r="C1289" s="60"/>
      <c r="D1289" s="56"/>
    </row>
    <row r="1290" spans="1:4" x14ac:dyDescent="0.3">
      <c r="A1290" s="59"/>
      <c r="B1290" s="58"/>
      <c r="C1290" s="60"/>
      <c r="D1290" s="56"/>
    </row>
    <row r="1291" spans="1:4" x14ac:dyDescent="0.3">
      <c r="A1291" s="59"/>
      <c r="B1291" s="58"/>
      <c r="C1291" s="60"/>
      <c r="D1291" s="56"/>
    </row>
    <row r="1292" spans="1:4" x14ac:dyDescent="0.3">
      <c r="A1292" s="59"/>
      <c r="B1292" s="58"/>
      <c r="C1292" s="60"/>
      <c r="D1292" s="56"/>
    </row>
    <row r="1293" spans="1:4" x14ac:dyDescent="0.3">
      <c r="A1293" s="59"/>
      <c r="B1293" s="58"/>
      <c r="C1293" s="60"/>
      <c r="D1293" s="56"/>
    </row>
    <row r="1294" spans="1:4" x14ac:dyDescent="0.3">
      <c r="A1294" s="59"/>
      <c r="B1294" s="58"/>
      <c r="C1294" s="60"/>
      <c r="D1294" s="56"/>
    </row>
    <row r="1295" spans="1:4" x14ac:dyDescent="0.3">
      <c r="A1295" s="59"/>
      <c r="B1295" s="58"/>
      <c r="C1295" s="60"/>
      <c r="D1295" s="56"/>
    </row>
    <row r="1296" spans="1:4" x14ac:dyDescent="0.3">
      <c r="A1296" s="59"/>
      <c r="B1296" s="58"/>
      <c r="C1296" s="60"/>
      <c r="D1296" s="56"/>
    </row>
    <row r="1297" spans="1:4" x14ac:dyDescent="0.3">
      <c r="A1297" s="59"/>
      <c r="B1297" s="58"/>
      <c r="C1297" s="60"/>
      <c r="D1297" s="56"/>
    </row>
    <row r="1298" spans="1:4" x14ac:dyDescent="0.3">
      <c r="A1298" s="59"/>
      <c r="B1298" s="58"/>
      <c r="C1298" s="60"/>
      <c r="D1298" s="56"/>
    </row>
    <row r="1299" spans="1:4" x14ac:dyDescent="0.3">
      <c r="A1299" s="59"/>
      <c r="B1299" s="58"/>
      <c r="C1299" s="60"/>
      <c r="D1299" s="56"/>
    </row>
    <row r="1300" spans="1:4" x14ac:dyDescent="0.3">
      <c r="A1300" s="59"/>
      <c r="B1300" s="58"/>
      <c r="C1300" s="60"/>
      <c r="D1300" s="56"/>
    </row>
    <row r="1301" spans="1:4" x14ac:dyDescent="0.3">
      <c r="A1301" s="59"/>
      <c r="B1301" s="58"/>
      <c r="C1301" s="60"/>
      <c r="D1301" s="56"/>
    </row>
    <row r="1302" spans="1:4" x14ac:dyDescent="0.3">
      <c r="A1302" s="59"/>
      <c r="B1302" s="58"/>
      <c r="C1302" s="60"/>
      <c r="D1302" s="56"/>
    </row>
    <row r="1303" spans="1:4" x14ac:dyDescent="0.3">
      <c r="A1303" s="59"/>
      <c r="B1303" s="58"/>
      <c r="C1303" s="60"/>
      <c r="D1303" s="56"/>
    </row>
    <row r="1304" spans="1:4" x14ac:dyDescent="0.3">
      <c r="A1304" s="59"/>
      <c r="B1304" s="58"/>
      <c r="C1304" s="60"/>
      <c r="D1304" s="56"/>
    </row>
    <row r="1305" spans="1:4" x14ac:dyDescent="0.3">
      <c r="A1305" s="59"/>
      <c r="B1305" s="58"/>
      <c r="C1305" s="60"/>
      <c r="D1305" s="56"/>
    </row>
    <row r="1306" spans="1:4" x14ac:dyDescent="0.3">
      <c r="A1306" s="59"/>
      <c r="B1306" s="58"/>
      <c r="C1306" s="60"/>
      <c r="D1306" s="56"/>
    </row>
    <row r="1307" spans="1:4" x14ac:dyDescent="0.3">
      <c r="A1307" s="59"/>
      <c r="B1307" s="58"/>
      <c r="C1307" s="60"/>
      <c r="D1307" s="56"/>
    </row>
    <row r="1308" spans="1:4" x14ac:dyDescent="0.3">
      <c r="A1308" s="59"/>
      <c r="B1308" s="58"/>
      <c r="C1308" s="60"/>
      <c r="D1308" s="56"/>
    </row>
    <row r="1309" spans="1:4" x14ac:dyDescent="0.3">
      <c r="A1309" s="59"/>
      <c r="B1309" s="58"/>
      <c r="C1309" s="60"/>
      <c r="D1309" s="56"/>
    </row>
    <row r="1310" spans="1:4" x14ac:dyDescent="0.3">
      <c r="A1310" s="59"/>
      <c r="B1310" s="58"/>
      <c r="C1310" s="60"/>
      <c r="D1310" s="56"/>
    </row>
    <row r="1311" spans="1:4" x14ac:dyDescent="0.3">
      <c r="A1311" s="59"/>
      <c r="B1311" s="58"/>
      <c r="C1311" s="60"/>
      <c r="D1311" s="56"/>
    </row>
    <row r="1312" spans="1:4" x14ac:dyDescent="0.3">
      <c r="A1312" s="59"/>
      <c r="B1312" s="58"/>
      <c r="C1312" s="60"/>
      <c r="D1312" s="56"/>
    </row>
    <row r="1313" spans="1:4" x14ac:dyDescent="0.3">
      <c r="A1313" s="59"/>
      <c r="B1313" s="58"/>
      <c r="C1313" s="60"/>
      <c r="D1313" s="56"/>
    </row>
    <row r="1314" spans="1:4" x14ac:dyDescent="0.3">
      <c r="A1314" s="59"/>
      <c r="B1314" s="58"/>
      <c r="C1314" s="60"/>
      <c r="D1314" s="56"/>
    </row>
    <row r="1315" spans="1:4" x14ac:dyDescent="0.3">
      <c r="A1315" s="59"/>
      <c r="B1315" s="58"/>
      <c r="C1315" s="60"/>
      <c r="D1315" s="56"/>
    </row>
    <row r="1316" spans="1:4" x14ac:dyDescent="0.3">
      <c r="A1316" s="59"/>
      <c r="B1316" s="58"/>
      <c r="C1316" s="60"/>
      <c r="D1316" s="56"/>
    </row>
    <row r="1317" spans="1:4" x14ac:dyDescent="0.3">
      <c r="A1317" s="59"/>
      <c r="B1317" s="58"/>
      <c r="C1317" s="60"/>
      <c r="D1317" s="56"/>
    </row>
    <row r="1318" spans="1:4" x14ac:dyDescent="0.3">
      <c r="A1318" s="59"/>
      <c r="B1318" s="58"/>
      <c r="C1318" s="60"/>
      <c r="D1318" s="56"/>
    </row>
    <row r="1319" spans="1:4" x14ac:dyDescent="0.3">
      <c r="A1319" s="59"/>
      <c r="B1319" s="58"/>
      <c r="C1319" s="60"/>
      <c r="D1319" s="56"/>
    </row>
    <row r="1320" spans="1:4" x14ac:dyDescent="0.3">
      <c r="A1320" s="59"/>
      <c r="B1320" s="58"/>
      <c r="C1320" s="60"/>
      <c r="D1320" s="56"/>
    </row>
    <row r="1321" spans="1:4" x14ac:dyDescent="0.3">
      <c r="A1321" s="59"/>
      <c r="B1321" s="58"/>
      <c r="C1321" s="60"/>
      <c r="D1321" s="56"/>
    </row>
    <row r="1322" spans="1:4" x14ac:dyDescent="0.3">
      <c r="A1322" s="59"/>
      <c r="B1322" s="58"/>
      <c r="C1322" s="60"/>
      <c r="D1322" s="56"/>
    </row>
    <row r="1323" spans="1:4" x14ac:dyDescent="0.3">
      <c r="A1323" s="59"/>
      <c r="B1323" s="58"/>
      <c r="C1323" s="60"/>
      <c r="D1323" s="56"/>
    </row>
    <row r="1324" spans="1:4" x14ac:dyDescent="0.3">
      <c r="A1324" s="59"/>
      <c r="B1324" s="58"/>
      <c r="C1324" s="60"/>
      <c r="D1324" s="56"/>
    </row>
    <row r="1325" spans="1:4" x14ac:dyDescent="0.3">
      <c r="A1325" s="59"/>
      <c r="B1325" s="58"/>
      <c r="C1325" s="60"/>
      <c r="D1325" s="56"/>
    </row>
    <row r="1326" spans="1:4" x14ac:dyDescent="0.3">
      <c r="A1326" s="59"/>
      <c r="B1326" s="58"/>
      <c r="C1326" s="60"/>
      <c r="D1326" s="56"/>
    </row>
    <row r="1327" spans="1:4" x14ac:dyDescent="0.3">
      <c r="A1327" s="59"/>
      <c r="B1327" s="58"/>
      <c r="C1327" s="60"/>
      <c r="D1327" s="56"/>
    </row>
    <row r="1328" spans="1:4" x14ac:dyDescent="0.3">
      <c r="A1328" s="59"/>
      <c r="B1328" s="58"/>
      <c r="C1328" s="60"/>
      <c r="D1328" s="56"/>
    </row>
    <row r="1329" spans="1:4" x14ac:dyDescent="0.3">
      <c r="A1329" s="59"/>
      <c r="B1329" s="58"/>
      <c r="C1329" s="60"/>
      <c r="D1329" s="56"/>
    </row>
    <row r="1330" spans="1:4" x14ac:dyDescent="0.3">
      <c r="A1330" s="59"/>
      <c r="B1330" s="58"/>
      <c r="C1330" s="60"/>
      <c r="D1330" s="56"/>
    </row>
    <row r="1331" spans="1:4" x14ac:dyDescent="0.3">
      <c r="A1331" s="59"/>
      <c r="B1331" s="58"/>
      <c r="C1331" s="60"/>
      <c r="D1331" s="56"/>
    </row>
    <row r="1332" spans="1:4" x14ac:dyDescent="0.3">
      <c r="A1332" s="59"/>
      <c r="B1332" s="58"/>
      <c r="C1332" s="60"/>
      <c r="D1332" s="56"/>
    </row>
    <row r="1333" spans="1:4" x14ac:dyDescent="0.3">
      <c r="A1333" s="59"/>
      <c r="B1333" s="58"/>
      <c r="C1333" s="60"/>
      <c r="D1333" s="56"/>
    </row>
    <row r="1334" spans="1:4" x14ac:dyDescent="0.3">
      <c r="A1334" s="59"/>
      <c r="B1334" s="58"/>
      <c r="C1334" s="60"/>
      <c r="D1334" s="56"/>
    </row>
    <row r="1335" spans="1:4" x14ac:dyDescent="0.3">
      <c r="A1335" s="59"/>
      <c r="B1335" s="58"/>
      <c r="C1335" s="60"/>
      <c r="D1335" s="56"/>
    </row>
    <row r="1336" spans="1:4" x14ac:dyDescent="0.3">
      <c r="A1336" s="59"/>
      <c r="B1336" s="58"/>
      <c r="C1336" s="60"/>
      <c r="D1336" s="56"/>
    </row>
    <row r="1337" spans="1:4" x14ac:dyDescent="0.3">
      <c r="A1337" s="59"/>
      <c r="B1337" s="58"/>
      <c r="C1337" s="60"/>
      <c r="D1337" s="56"/>
    </row>
    <row r="1338" spans="1:4" x14ac:dyDescent="0.3">
      <c r="A1338" s="59"/>
      <c r="B1338" s="58"/>
      <c r="C1338" s="60"/>
      <c r="D1338" s="56"/>
    </row>
    <row r="1339" spans="1:4" x14ac:dyDescent="0.3">
      <c r="A1339" s="59"/>
      <c r="B1339" s="58"/>
      <c r="C1339" s="60"/>
      <c r="D1339" s="56"/>
    </row>
    <row r="1340" spans="1:4" x14ac:dyDescent="0.3">
      <c r="A1340" s="59"/>
      <c r="B1340" s="58"/>
      <c r="C1340" s="60"/>
      <c r="D1340" s="56"/>
    </row>
    <row r="1341" spans="1:4" x14ac:dyDescent="0.3">
      <c r="A1341" s="59"/>
      <c r="B1341" s="58"/>
      <c r="C1341" s="60"/>
      <c r="D1341" s="56"/>
    </row>
    <row r="1342" spans="1:4" x14ac:dyDescent="0.3">
      <c r="A1342" s="59"/>
      <c r="B1342" s="58"/>
      <c r="C1342" s="60"/>
      <c r="D1342" s="56"/>
    </row>
    <row r="1343" spans="1:4" x14ac:dyDescent="0.3">
      <c r="A1343" s="59"/>
      <c r="B1343" s="58"/>
      <c r="C1343" s="60"/>
      <c r="D1343" s="56"/>
    </row>
    <row r="1344" spans="1:4" x14ac:dyDescent="0.3">
      <c r="A1344" s="59"/>
      <c r="B1344" s="58"/>
      <c r="C1344" s="60"/>
      <c r="D1344" s="56"/>
    </row>
    <row r="1345" spans="1:4" x14ac:dyDescent="0.3">
      <c r="A1345" s="59"/>
      <c r="B1345" s="58"/>
      <c r="C1345" s="60"/>
      <c r="D1345" s="56"/>
    </row>
    <row r="1346" spans="1:4" x14ac:dyDescent="0.3">
      <c r="A1346" s="59"/>
      <c r="B1346" s="58"/>
      <c r="C1346" s="60"/>
      <c r="D1346" s="56"/>
    </row>
    <row r="1347" spans="1:4" x14ac:dyDescent="0.3">
      <c r="A1347" s="59"/>
      <c r="B1347" s="58"/>
      <c r="C1347" s="60"/>
      <c r="D1347" s="56"/>
    </row>
    <row r="1348" spans="1:4" x14ac:dyDescent="0.3">
      <c r="A1348" s="59"/>
      <c r="B1348" s="58"/>
      <c r="C1348" s="60"/>
      <c r="D1348" s="56"/>
    </row>
    <row r="1349" spans="1:4" x14ac:dyDescent="0.3">
      <c r="A1349" s="59"/>
      <c r="B1349" s="58"/>
      <c r="C1349" s="60"/>
      <c r="D1349" s="56"/>
    </row>
    <row r="1350" spans="1:4" x14ac:dyDescent="0.3">
      <c r="A1350" s="59"/>
      <c r="B1350" s="58"/>
      <c r="C1350" s="60"/>
      <c r="D1350" s="56"/>
    </row>
    <row r="1351" spans="1:4" x14ac:dyDescent="0.3">
      <c r="A1351" s="59"/>
      <c r="B1351" s="58"/>
      <c r="C1351" s="60"/>
      <c r="D1351" s="56"/>
    </row>
    <row r="1352" spans="1:4" x14ac:dyDescent="0.3">
      <c r="A1352" s="59"/>
      <c r="B1352" s="58"/>
      <c r="C1352" s="60"/>
      <c r="D1352" s="56"/>
    </row>
    <row r="1353" spans="1:4" x14ac:dyDescent="0.3">
      <c r="A1353" s="59"/>
      <c r="B1353" s="58"/>
      <c r="C1353" s="60"/>
      <c r="D1353" s="56"/>
    </row>
    <row r="1354" spans="1:4" x14ac:dyDescent="0.3">
      <c r="A1354" s="59"/>
      <c r="B1354" s="58"/>
      <c r="C1354" s="60"/>
      <c r="D1354" s="56"/>
    </row>
    <row r="1355" spans="1:4" x14ac:dyDescent="0.3">
      <c r="A1355" s="59"/>
      <c r="B1355" s="58"/>
      <c r="C1355" s="60"/>
      <c r="D1355" s="56"/>
    </row>
    <row r="1356" spans="1:4" x14ac:dyDescent="0.3">
      <c r="A1356" s="59"/>
      <c r="B1356" s="58"/>
      <c r="C1356" s="60"/>
      <c r="D1356" s="56"/>
    </row>
    <row r="1357" spans="1:4" x14ac:dyDescent="0.3">
      <c r="A1357" s="59"/>
      <c r="B1357" s="58"/>
      <c r="C1357" s="60"/>
      <c r="D1357" s="56"/>
    </row>
    <row r="1358" spans="1:4" x14ac:dyDescent="0.3">
      <c r="A1358" s="59"/>
      <c r="B1358" s="58"/>
      <c r="C1358" s="60"/>
      <c r="D1358" s="56"/>
    </row>
    <row r="1359" spans="1:4" x14ac:dyDescent="0.3">
      <c r="A1359" s="59"/>
      <c r="B1359" s="58"/>
      <c r="C1359" s="60"/>
      <c r="D1359" s="56"/>
    </row>
    <row r="1360" spans="1:4" x14ac:dyDescent="0.3">
      <c r="A1360" s="59"/>
      <c r="B1360" s="58"/>
      <c r="C1360" s="60"/>
      <c r="D1360" s="56"/>
    </row>
    <row r="1361" spans="1:4" x14ac:dyDescent="0.3">
      <c r="A1361" s="59"/>
      <c r="B1361" s="58"/>
      <c r="C1361" s="60"/>
      <c r="D1361" s="56"/>
    </row>
    <row r="1362" spans="1:4" x14ac:dyDescent="0.3">
      <c r="A1362" s="59"/>
      <c r="B1362" s="58"/>
      <c r="C1362" s="60"/>
      <c r="D1362" s="56"/>
    </row>
    <row r="1363" spans="1:4" x14ac:dyDescent="0.3">
      <c r="A1363" s="59"/>
      <c r="B1363" s="58"/>
      <c r="C1363" s="60"/>
      <c r="D1363" s="56"/>
    </row>
    <row r="1364" spans="1:4" x14ac:dyDescent="0.3">
      <c r="A1364" s="59"/>
      <c r="B1364" s="58"/>
      <c r="C1364" s="60"/>
      <c r="D1364" s="56"/>
    </row>
    <row r="1365" spans="1:4" x14ac:dyDescent="0.3">
      <c r="A1365" s="59"/>
      <c r="B1365" s="58"/>
      <c r="C1365" s="60"/>
      <c r="D1365" s="56"/>
    </row>
    <row r="1366" spans="1:4" x14ac:dyDescent="0.3">
      <c r="A1366" s="59"/>
      <c r="B1366" s="58"/>
      <c r="C1366" s="60"/>
      <c r="D1366" s="56"/>
    </row>
    <row r="1367" spans="1:4" x14ac:dyDescent="0.3">
      <c r="A1367" s="59"/>
      <c r="B1367" s="58"/>
      <c r="C1367" s="60"/>
      <c r="D1367" s="56"/>
    </row>
    <row r="1368" spans="1:4" x14ac:dyDescent="0.3">
      <c r="A1368" s="59"/>
      <c r="B1368" s="58"/>
      <c r="C1368" s="60"/>
      <c r="D1368" s="56"/>
    </row>
    <row r="1369" spans="1:4" x14ac:dyDescent="0.3">
      <c r="A1369" s="59"/>
      <c r="B1369" s="58"/>
      <c r="C1369" s="60"/>
      <c r="D1369" s="56"/>
    </row>
    <row r="1370" spans="1:4" x14ac:dyDescent="0.3">
      <c r="A1370" s="59"/>
      <c r="B1370" s="58"/>
      <c r="C1370" s="60"/>
      <c r="D1370" s="56"/>
    </row>
    <row r="1371" spans="1:4" x14ac:dyDescent="0.3">
      <c r="A1371" s="59"/>
      <c r="B1371" s="58"/>
      <c r="C1371" s="60"/>
      <c r="D1371" s="56"/>
    </row>
    <row r="1372" spans="1:4" x14ac:dyDescent="0.3">
      <c r="A1372" s="59"/>
      <c r="B1372" s="58"/>
      <c r="C1372" s="60"/>
      <c r="D1372" s="56"/>
    </row>
    <row r="1373" spans="1:4" x14ac:dyDescent="0.3">
      <c r="A1373" s="59"/>
      <c r="B1373" s="58"/>
      <c r="C1373" s="60"/>
      <c r="D1373" s="56"/>
    </row>
    <row r="1374" spans="1:4" x14ac:dyDescent="0.3">
      <c r="A1374" s="59"/>
      <c r="B1374" s="58"/>
      <c r="C1374" s="60"/>
      <c r="D1374" s="56"/>
    </row>
    <row r="1375" spans="1:4" x14ac:dyDescent="0.3">
      <c r="A1375" s="59"/>
      <c r="B1375" s="58"/>
      <c r="C1375" s="60"/>
      <c r="D1375" s="56"/>
    </row>
    <row r="1376" spans="1:4" x14ac:dyDescent="0.3">
      <c r="A1376" s="59"/>
      <c r="B1376" s="58"/>
      <c r="C1376" s="60"/>
      <c r="D1376" s="56"/>
    </row>
    <row r="1377" spans="1:4" x14ac:dyDescent="0.3">
      <c r="A1377" s="59"/>
      <c r="B1377" s="58"/>
      <c r="C1377" s="60"/>
      <c r="D1377" s="56"/>
    </row>
    <row r="1378" spans="1:4" x14ac:dyDescent="0.3">
      <c r="A1378" s="59"/>
      <c r="B1378" s="58"/>
      <c r="C1378" s="60"/>
      <c r="D1378" s="56"/>
    </row>
    <row r="1379" spans="1:4" x14ac:dyDescent="0.3">
      <c r="A1379" s="59"/>
      <c r="B1379" s="58"/>
      <c r="C1379" s="60"/>
      <c r="D1379" s="56"/>
    </row>
    <row r="1380" spans="1:4" x14ac:dyDescent="0.3">
      <c r="A1380" s="59"/>
      <c r="B1380" s="58"/>
      <c r="C1380" s="60"/>
      <c r="D1380" s="56"/>
    </row>
    <row r="1381" spans="1:4" x14ac:dyDescent="0.3">
      <c r="A1381" s="59"/>
      <c r="B1381" s="58"/>
      <c r="C1381" s="60"/>
      <c r="D1381" s="56"/>
    </row>
    <row r="1382" spans="1:4" x14ac:dyDescent="0.3">
      <c r="A1382" s="59"/>
      <c r="B1382" s="58"/>
      <c r="C1382" s="60"/>
      <c r="D1382" s="56"/>
    </row>
    <row r="1383" spans="1:4" x14ac:dyDescent="0.3">
      <c r="A1383" s="59"/>
      <c r="B1383" s="58"/>
      <c r="C1383" s="60"/>
      <c r="D1383" s="56"/>
    </row>
    <row r="1384" spans="1:4" x14ac:dyDescent="0.3">
      <c r="A1384" s="59"/>
      <c r="B1384" s="58"/>
      <c r="C1384" s="60"/>
      <c r="D1384" s="56"/>
    </row>
    <row r="1385" spans="1:4" x14ac:dyDescent="0.3">
      <c r="A1385" s="59"/>
      <c r="B1385" s="58"/>
      <c r="C1385" s="60"/>
      <c r="D1385" s="56"/>
    </row>
    <row r="1386" spans="1:4" x14ac:dyDescent="0.3">
      <c r="A1386" s="59"/>
      <c r="B1386" s="58"/>
      <c r="C1386" s="60"/>
      <c r="D1386" s="56"/>
    </row>
    <row r="1387" spans="1:4" x14ac:dyDescent="0.3">
      <c r="A1387" s="59"/>
      <c r="B1387" s="58"/>
      <c r="C1387" s="60"/>
      <c r="D1387" s="56"/>
    </row>
    <row r="1388" spans="1:4" x14ac:dyDescent="0.3">
      <c r="A1388" s="59"/>
      <c r="B1388" s="58"/>
      <c r="C1388" s="60"/>
      <c r="D1388" s="56"/>
    </row>
    <row r="1389" spans="1:4" x14ac:dyDescent="0.3">
      <c r="A1389" s="59"/>
      <c r="B1389" s="58"/>
      <c r="C1389" s="60"/>
      <c r="D1389" s="56"/>
    </row>
    <row r="1390" spans="1:4" x14ac:dyDescent="0.3">
      <c r="A1390" s="59"/>
      <c r="B1390" s="58"/>
      <c r="C1390" s="60"/>
      <c r="D1390" s="56"/>
    </row>
    <row r="1391" spans="1:4" x14ac:dyDescent="0.3">
      <c r="A1391" s="59"/>
      <c r="B1391" s="58"/>
      <c r="C1391" s="60"/>
      <c r="D1391" s="56"/>
    </row>
    <row r="1392" spans="1:4" x14ac:dyDescent="0.3">
      <c r="A1392" s="59"/>
      <c r="B1392" s="58"/>
      <c r="C1392" s="60"/>
      <c r="D1392" s="56"/>
    </row>
    <row r="1393" spans="1:4" x14ac:dyDescent="0.3">
      <c r="A1393" s="59"/>
      <c r="B1393" s="58"/>
      <c r="C1393" s="60"/>
      <c r="D1393" s="56"/>
    </row>
    <row r="1394" spans="1:4" x14ac:dyDescent="0.3">
      <c r="A1394" s="59"/>
      <c r="B1394" s="58"/>
      <c r="C1394" s="60"/>
      <c r="D1394" s="56"/>
    </row>
    <row r="1395" spans="1:4" x14ac:dyDescent="0.3">
      <c r="A1395" s="59"/>
      <c r="B1395" s="58"/>
      <c r="C1395" s="60"/>
      <c r="D1395" s="56"/>
    </row>
    <row r="1396" spans="1:4" x14ac:dyDescent="0.3">
      <c r="A1396" s="59"/>
      <c r="B1396" s="58"/>
      <c r="C1396" s="60"/>
      <c r="D1396" s="56"/>
    </row>
    <row r="1397" spans="1:4" x14ac:dyDescent="0.3">
      <c r="A1397" s="59"/>
      <c r="B1397" s="58"/>
      <c r="C1397" s="60"/>
      <c r="D1397" s="56"/>
    </row>
    <row r="1398" spans="1:4" x14ac:dyDescent="0.3">
      <c r="A1398" s="59"/>
      <c r="B1398" s="58"/>
      <c r="C1398" s="60"/>
      <c r="D1398" s="56"/>
    </row>
    <row r="1399" spans="1:4" x14ac:dyDescent="0.3">
      <c r="A1399" s="59"/>
      <c r="B1399" s="58"/>
      <c r="C1399" s="60"/>
      <c r="D1399" s="56"/>
    </row>
    <row r="1400" spans="1:4" x14ac:dyDescent="0.3">
      <c r="A1400" s="59"/>
      <c r="B1400" s="58"/>
      <c r="C1400" s="60"/>
      <c r="D1400" s="56"/>
    </row>
    <row r="1401" spans="1:4" x14ac:dyDescent="0.3">
      <c r="A1401" s="59"/>
      <c r="B1401" s="58"/>
      <c r="C1401" s="60"/>
      <c r="D1401" s="56"/>
    </row>
    <row r="1402" spans="1:4" x14ac:dyDescent="0.3">
      <c r="A1402" s="59"/>
      <c r="B1402" s="58"/>
      <c r="C1402" s="60"/>
      <c r="D1402" s="56"/>
    </row>
    <row r="1403" spans="1:4" x14ac:dyDescent="0.3">
      <c r="A1403" s="59"/>
      <c r="B1403" s="58"/>
      <c r="C1403" s="60"/>
      <c r="D1403" s="56"/>
    </row>
    <row r="1404" spans="1:4" x14ac:dyDescent="0.3">
      <c r="A1404" s="59"/>
      <c r="B1404" s="58"/>
      <c r="C1404" s="60"/>
      <c r="D1404" s="56"/>
    </row>
    <row r="1405" spans="1:4" x14ac:dyDescent="0.3">
      <c r="A1405" s="59"/>
      <c r="B1405" s="58"/>
      <c r="C1405" s="60"/>
      <c r="D1405" s="56"/>
    </row>
    <row r="1406" spans="1:4" x14ac:dyDescent="0.3">
      <c r="A1406" s="59"/>
      <c r="B1406" s="58"/>
      <c r="C1406" s="60"/>
      <c r="D1406" s="56"/>
    </row>
    <row r="1407" spans="1:4" x14ac:dyDescent="0.3">
      <c r="A1407" s="59"/>
      <c r="B1407" s="58"/>
      <c r="C1407" s="60"/>
      <c r="D1407" s="56"/>
    </row>
    <row r="1408" spans="1:4" x14ac:dyDescent="0.3">
      <c r="A1408" s="59"/>
      <c r="B1408" s="58"/>
      <c r="C1408" s="60"/>
      <c r="D1408" s="56"/>
    </row>
    <row r="1409" spans="1:4" x14ac:dyDescent="0.3">
      <c r="A1409" s="59"/>
      <c r="B1409" s="58"/>
      <c r="C1409" s="60"/>
      <c r="D1409" s="56"/>
    </row>
    <row r="1410" spans="1:4" x14ac:dyDescent="0.3">
      <c r="A1410" s="59"/>
      <c r="B1410" s="58"/>
      <c r="C1410" s="60"/>
      <c r="D1410" s="56"/>
    </row>
    <row r="1411" spans="1:4" x14ac:dyDescent="0.3">
      <c r="A1411" s="59"/>
      <c r="B1411" s="58"/>
      <c r="C1411" s="60"/>
      <c r="D1411" s="56"/>
    </row>
    <row r="1412" spans="1:4" x14ac:dyDescent="0.3">
      <c r="A1412" s="59"/>
      <c r="B1412" s="58"/>
      <c r="C1412" s="60"/>
      <c r="D1412" s="56"/>
    </row>
    <row r="1413" spans="1:4" x14ac:dyDescent="0.3">
      <c r="A1413" s="59"/>
      <c r="B1413" s="58"/>
      <c r="C1413" s="60"/>
      <c r="D1413" s="56"/>
    </row>
    <row r="1414" spans="1:4" x14ac:dyDescent="0.3">
      <c r="A1414" s="59"/>
      <c r="B1414" s="58"/>
      <c r="C1414" s="60"/>
      <c r="D1414" s="56"/>
    </row>
    <row r="1415" spans="1:4" x14ac:dyDescent="0.3">
      <c r="A1415" s="59"/>
      <c r="B1415" s="58"/>
      <c r="C1415" s="60"/>
      <c r="D1415" s="56"/>
    </row>
    <row r="1416" spans="1:4" x14ac:dyDescent="0.3">
      <c r="A1416" s="59"/>
      <c r="B1416" s="58"/>
      <c r="C1416" s="60"/>
      <c r="D1416" s="56"/>
    </row>
    <row r="1417" spans="1:4" x14ac:dyDescent="0.3">
      <c r="A1417" s="59"/>
      <c r="B1417" s="58"/>
      <c r="C1417" s="60"/>
      <c r="D1417" s="56"/>
    </row>
    <row r="1418" spans="1:4" x14ac:dyDescent="0.3">
      <c r="A1418" s="59"/>
      <c r="B1418" s="58"/>
      <c r="C1418" s="60"/>
      <c r="D1418" s="56"/>
    </row>
    <row r="1419" spans="1:4" x14ac:dyDescent="0.3">
      <c r="A1419" s="59"/>
      <c r="B1419" s="58"/>
      <c r="C1419" s="60"/>
      <c r="D1419" s="56"/>
    </row>
    <row r="1420" spans="1:4" x14ac:dyDescent="0.3">
      <c r="A1420" s="59"/>
      <c r="B1420" s="58"/>
      <c r="C1420" s="60"/>
      <c r="D1420" s="56"/>
    </row>
    <row r="1421" spans="1:4" x14ac:dyDescent="0.3">
      <c r="A1421" s="59"/>
      <c r="B1421" s="58"/>
      <c r="C1421" s="60"/>
      <c r="D1421" s="56"/>
    </row>
    <row r="1422" spans="1:4" x14ac:dyDescent="0.3">
      <c r="A1422" s="59"/>
      <c r="B1422" s="58"/>
      <c r="C1422" s="60"/>
      <c r="D1422" s="56"/>
    </row>
    <row r="1423" spans="1:4" x14ac:dyDescent="0.3">
      <c r="A1423" s="59"/>
      <c r="B1423" s="58"/>
      <c r="C1423" s="60"/>
      <c r="D1423" s="56"/>
    </row>
    <row r="1424" spans="1:4" x14ac:dyDescent="0.3">
      <c r="A1424" s="59"/>
      <c r="B1424" s="58"/>
      <c r="C1424" s="60"/>
      <c r="D1424" s="56"/>
    </row>
    <row r="1425" spans="1:4" x14ac:dyDescent="0.3">
      <c r="A1425" s="59"/>
      <c r="B1425" s="58"/>
      <c r="C1425" s="60"/>
      <c r="D1425" s="56"/>
    </row>
    <row r="1426" spans="1:4" x14ac:dyDescent="0.3">
      <c r="A1426" s="59"/>
      <c r="B1426" s="58"/>
      <c r="C1426" s="60"/>
      <c r="D1426" s="56"/>
    </row>
    <row r="1427" spans="1:4" x14ac:dyDescent="0.3">
      <c r="A1427" s="59"/>
      <c r="B1427" s="58"/>
      <c r="C1427" s="60"/>
      <c r="D1427" s="56"/>
    </row>
    <row r="1428" spans="1:4" x14ac:dyDescent="0.3">
      <c r="A1428" s="59"/>
      <c r="B1428" s="58"/>
      <c r="C1428" s="60"/>
      <c r="D1428" s="56"/>
    </row>
    <row r="1429" spans="1:4" x14ac:dyDescent="0.3">
      <c r="A1429" s="59"/>
      <c r="B1429" s="58"/>
      <c r="C1429" s="60"/>
      <c r="D1429" s="56"/>
    </row>
    <row r="1430" spans="1:4" x14ac:dyDescent="0.3">
      <c r="A1430" s="59"/>
      <c r="B1430" s="58"/>
      <c r="C1430" s="60"/>
      <c r="D1430" s="56"/>
    </row>
    <row r="1431" spans="1:4" x14ac:dyDescent="0.3">
      <c r="A1431" s="59"/>
      <c r="B1431" s="58"/>
      <c r="C1431" s="60"/>
      <c r="D1431" s="56"/>
    </row>
    <row r="1432" spans="1:4" x14ac:dyDescent="0.3">
      <c r="A1432" s="59"/>
      <c r="B1432" s="58"/>
      <c r="C1432" s="60"/>
      <c r="D1432" s="56"/>
    </row>
    <row r="1433" spans="1:4" x14ac:dyDescent="0.3">
      <c r="A1433" s="59"/>
      <c r="B1433" s="58"/>
      <c r="C1433" s="60"/>
      <c r="D1433" s="56"/>
    </row>
    <row r="1434" spans="1:4" x14ac:dyDescent="0.3">
      <c r="A1434" s="59"/>
      <c r="B1434" s="58"/>
      <c r="C1434" s="60"/>
      <c r="D1434" s="56"/>
    </row>
    <row r="1435" spans="1:4" x14ac:dyDescent="0.3">
      <c r="A1435" s="59"/>
      <c r="B1435" s="58"/>
      <c r="C1435" s="60"/>
      <c r="D1435" s="56"/>
    </row>
    <row r="1436" spans="1:4" x14ac:dyDescent="0.3">
      <c r="A1436" s="59"/>
      <c r="B1436" s="58"/>
      <c r="C1436" s="60"/>
      <c r="D1436" s="56"/>
    </row>
    <row r="1437" spans="1:4" x14ac:dyDescent="0.3">
      <c r="A1437" s="59"/>
      <c r="B1437" s="58"/>
      <c r="C1437" s="60"/>
      <c r="D1437" s="56"/>
    </row>
    <row r="1438" spans="1:4" x14ac:dyDescent="0.3">
      <c r="A1438" s="59"/>
      <c r="B1438" s="58"/>
      <c r="C1438" s="60"/>
      <c r="D1438" s="56"/>
    </row>
    <row r="1439" spans="1:4" x14ac:dyDescent="0.3">
      <c r="A1439" s="59"/>
      <c r="B1439" s="58"/>
      <c r="C1439" s="60"/>
      <c r="D1439" s="56"/>
    </row>
    <row r="1440" spans="1:4" x14ac:dyDescent="0.3">
      <c r="A1440" s="59"/>
      <c r="B1440" s="58"/>
      <c r="C1440" s="60"/>
      <c r="D1440" s="56"/>
    </row>
    <row r="1441" spans="1:4" x14ac:dyDescent="0.3">
      <c r="A1441" s="59"/>
      <c r="B1441" s="58"/>
      <c r="C1441" s="60"/>
      <c r="D1441" s="56"/>
    </row>
    <row r="1442" spans="1:4" x14ac:dyDescent="0.3">
      <c r="A1442" s="59"/>
      <c r="B1442" s="58"/>
      <c r="C1442" s="60"/>
      <c r="D1442" s="56"/>
    </row>
    <row r="1443" spans="1:4" x14ac:dyDescent="0.3">
      <c r="A1443" s="59"/>
      <c r="B1443" s="58"/>
      <c r="C1443" s="60"/>
      <c r="D1443" s="56"/>
    </row>
    <row r="1444" spans="1:4" x14ac:dyDescent="0.3">
      <c r="A1444" s="59"/>
      <c r="B1444" s="58"/>
      <c r="C1444" s="60"/>
      <c r="D1444" s="56"/>
    </row>
    <row r="1445" spans="1:4" x14ac:dyDescent="0.3">
      <c r="A1445" s="59"/>
      <c r="B1445" s="58"/>
      <c r="C1445" s="60"/>
      <c r="D1445" s="56"/>
    </row>
    <row r="1446" spans="1:4" x14ac:dyDescent="0.3">
      <c r="A1446" s="59"/>
      <c r="B1446" s="58"/>
      <c r="C1446" s="60"/>
      <c r="D1446" s="56"/>
    </row>
    <row r="1447" spans="1:4" x14ac:dyDescent="0.3">
      <c r="A1447" s="59"/>
      <c r="B1447" s="58"/>
      <c r="C1447" s="60"/>
      <c r="D1447" s="56"/>
    </row>
    <row r="1448" spans="1:4" x14ac:dyDescent="0.3">
      <c r="A1448" s="59"/>
      <c r="B1448" s="58"/>
      <c r="C1448" s="60"/>
      <c r="D1448" s="56"/>
    </row>
    <row r="1449" spans="1:4" x14ac:dyDescent="0.3">
      <c r="A1449" s="59"/>
      <c r="B1449" s="58"/>
      <c r="C1449" s="60"/>
      <c r="D1449" s="56"/>
    </row>
    <row r="1450" spans="1:4" x14ac:dyDescent="0.3">
      <c r="A1450" s="59"/>
      <c r="B1450" s="58"/>
      <c r="C1450" s="60"/>
      <c r="D1450" s="56"/>
    </row>
    <row r="1451" spans="1:4" x14ac:dyDescent="0.3">
      <c r="A1451" s="59"/>
      <c r="B1451" s="58"/>
      <c r="C1451" s="60"/>
      <c r="D1451" s="56"/>
    </row>
    <row r="1452" spans="1:4" x14ac:dyDescent="0.3">
      <c r="A1452" s="59"/>
      <c r="B1452" s="58"/>
      <c r="C1452" s="60"/>
      <c r="D1452" s="56"/>
    </row>
    <row r="1453" spans="1:4" x14ac:dyDescent="0.3">
      <c r="A1453" s="59"/>
      <c r="B1453" s="58"/>
      <c r="C1453" s="60"/>
      <c r="D1453" s="56"/>
    </row>
    <row r="1454" spans="1:4" x14ac:dyDescent="0.3">
      <c r="A1454" s="59"/>
      <c r="B1454" s="58"/>
      <c r="C1454" s="60"/>
      <c r="D1454" s="56"/>
    </row>
    <row r="1455" spans="1:4" x14ac:dyDescent="0.3">
      <c r="A1455" s="59"/>
      <c r="B1455" s="58"/>
      <c r="C1455" s="60"/>
      <c r="D1455" s="56"/>
    </row>
    <row r="1456" spans="1:4" x14ac:dyDescent="0.3">
      <c r="A1456" s="59"/>
      <c r="B1456" s="58"/>
      <c r="C1456" s="60"/>
      <c r="D1456" s="56"/>
    </row>
    <row r="1457" spans="1:4" x14ac:dyDescent="0.3">
      <c r="A1457" s="59"/>
      <c r="B1457" s="58"/>
      <c r="C1457" s="60"/>
      <c r="D1457" s="56"/>
    </row>
    <row r="1458" spans="1:4" x14ac:dyDescent="0.3">
      <c r="A1458" s="59"/>
      <c r="B1458" s="58"/>
      <c r="C1458" s="60"/>
      <c r="D1458" s="56"/>
    </row>
    <row r="1459" spans="1:4" x14ac:dyDescent="0.3">
      <c r="A1459" s="59"/>
      <c r="B1459" s="58"/>
      <c r="C1459" s="60"/>
      <c r="D1459" s="56"/>
    </row>
    <row r="1460" spans="1:4" x14ac:dyDescent="0.3">
      <c r="A1460" s="59"/>
      <c r="B1460" s="58"/>
      <c r="C1460" s="60"/>
      <c r="D1460" s="56"/>
    </row>
    <row r="1461" spans="1:4" x14ac:dyDescent="0.3">
      <c r="A1461" s="59"/>
      <c r="B1461" s="58"/>
      <c r="C1461" s="60"/>
      <c r="D1461" s="56"/>
    </row>
    <row r="1462" spans="1:4" x14ac:dyDescent="0.3">
      <c r="A1462" s="59"/>
      <c r="B1462" s="58"/>
      <c r="C1462" s="60"/>
      <c r="D1462" s="56"/>
    </row>
    <row r="1463" spans="1:4" x14ac:dyDescent="0.3">
      <c r="A1463" s="59"/>
      <c r="B1463" s="58"/>
      <c r="C1463" s="60"/>
      <c r="D1463" s="56"/>
    </row>
    <row r="1464" spans="1:4" x14ac:dyDescent="0.3">
      <c r="A1464" s="59"/>
      <c r="B1464" s="58"/>
      <c r="C1464" s="60"/>
      <c r="D1464" s="56"/>
    </row>
    <row r="1465" spans="1:4" x14ac:dyDescent="0.3">
      <c r="A1465" s="59"/>
      <c r="B1465" s="58"/>
      <c r="C1465" s="60"/>
      <c r="D1465" s="56"/>
    </row>
    <row r="1466" spans="1:4" x14ac:dyDescent="0.3">
      <c r="A1466" s="59"/>
      <c r="B1466" s="58"/>
      <c r="C1466" s="60"/>
      <c r="D1466" s="56"/>
    </row>
    <row r="1467" spans="1:4" x14ac:dyDescent="0.3">
      <c r="A1467" s="59"/>
      <c r="B1467" s="58"/>
      <c r="C1467" s="60"/>
      <c r="D1467" s="56"/>
    </row>
    <row r="1468" spans="1:4" x14ac:dyDescent="0.3">
      <c r="A1468" s="59"/>
      <c r="B1468" s="58"/>
      <c r="C1468" s="60"/>
      <c r="D1468" s="56"/>
    </row>
    <row r="1469" spans="1:4" x14ac:dyDescent="0.3">
      <c r="A1469" s="59"/>
      <c r="B1469" s="58"/>
      <c r="C1469" s="60"/>
      <c r="D1469" s="56"/>
    </row>
    <row r="1470" spans="1:4" x14ac:dyDescent="0.3">
      <c r="A1470" s="59"/>
      <c r="B1470" s="58"/>
      <c r="C1470" s="60"/>
      <c r="D1470" s="56"/>
    </row>
    <row r="1471" spans="1:4" x14ac:dyDescent="0.3">
      <c r="A1471" s="59"/>
      <c r="B1471" s="58"/>
      <c r="C1471" s="60"/>
      <c r="D1471" s="56"/>
    </row>
    <row r="1472" spans="1:4" x14ac:dyDescent="0.3">
      <c r="A1472" s="59"/>
      <c r="B1472" s="58"/>
      <c r="C1472" s="60"/>
      <c r="D1472" s="56"/>
    </row>
    <row r="1473" spans="1:4" x14ac:dyDescent="0.3">
      <c r="A1473" s="59"/>
      <c r="B1473" s="58"/>
      <c r="C1473" s="60"/>
      <c r="D1473" s="56"/>
    </row>
    <row r="1474" spans="1:4" x14ac:dyDescent="0.3">
      <c r="A1474" s="59"/>
      <c r="B1474" s="58"/>
      <c r="C1474" s="60"/>
      <c r="D1474" s="56"/>
    </row>
    <row r="1475" spans="1:4" x14ac:dyDescent="0.3">
      <c r="A1475" s="59"/>
      <c r="B1475" s="58"/>
      <c r="C1475" s="60"/>
      <c r="D1475" s="56"/>
    </row>
    <row r="1476" spans="1:4" x14ac:dyDescent="0.3">
      <c r="A1476" s="59"/>
      <c r="B1476" s="58"/>
      <c r="C1476" s="60"/>
      <c r="D1476" s="56"/>
    </row>
    <row r="1477" spans="1:4" x14ac:dyDescent="0.3">
      <c r="A1477" s="59"/>
      <c r="B1477" s="58"/>
      <c r="C1477" s="60"/>
      <c r="D1477" s="56"/>
    </row>
    <row r="1478" spans="1:4" x14ac:dyDescent="0.3">
      <c r="A1478" s="59"/>
      <c r="B1478" s="58"/>
      <c r="C1478" s="60"/>
      <c r="D1478" s="56"/>
    </row>
    <row r="1479" spans="1:4" x14ac:dyDescent="0.3">
      <c r="A1479" s="59"/>
      <c r="B1479" s="58"/>
      <c r="C1479" s="60"/>
      <c r="D1479" s="56"/>
    </row>
    <row r="1480" spans="1:4" x14ac:dyDescent="0.3">
      <c r="A1480" s="59"/>
      <c r="B1480" s="58"/>
      <c r="C1480" s="60"/>
      <c r="D1480" s="56"/>
    </row>
    <row r="1481" spans="1:4" x14ac:dyDescent="0.3">
      <c r="A1481" s="59"/>
      <c r="B1481" s="58"/>
      <c r="C1481" s="60"/>
      <c r="D1481" s="56"/>
    </row>
    <row r="1482" spans="1:4" x14ac:dyDescent="0.3">
      <c r="A1482" s="59"/>
      <c r="B1482" s="58"/>
      <c r="C1482" s="60"/>
      <c r="D1482" s="56"/>
    </row>
    <row r="1483" spans="1:4" x14ac:dyDescent="0.3">
      <c r="A1483" s="59"/>
      <c r="B1483" s="58"/>
      <c r="C1483" s="60"/>
      <c r="D1483" s="56"/>
    </row>
    <row r="1484" spans="1:4" x14ac:dyDescent="0.3">
      <c r="A1484" s="59"/>
      <c r="B1484" s="58"/>
      <c r="C1484" s="60"/>
      <c r="D1484" s="56"/>
    </row>
    <row r="1485" spans="1:4" x14ac:dyDescent="0.3">
      <c r="A1485" s="59"/>
      <c r="B1485" s="58"/>
      <c r="C1485" s="60"/>
      <c r="D1485" s="56"/>
    </row>
    <row r="1486" spans="1:4" x14ac:dyDescent="0.3">
      <c r="A1486" s="59"/>
      <c r="B1486" s="58"/>
      <c r="C1486" s="60"/>
      <c r="D1486" s="56"/>
    </row>
    <row r="1487" spans="1:4" x14ac:dyDescent="0.3">
      <c r="A1487" s="59"/>
      <c r="B1487" s="58"/>
      <c r="C1487" s="60"/>
      <c r="D1487" s="56"/>
    </row>
    <row r="1488" spans="1:4" x14ac:dyDescent="0.3">
      <c r="A1488" s="59"/>
      <c r="B1488" s="58"/>
      <c r="C1488" s="60"/>
      <c r="D1488" s="56"/>
    </row>
    <row r="1489" spans="1:4" x14ac:dyDescent="0.3">
      <c r="A1489" s="59"/>
      <c r="B1489" s="58"/>
      <c r="C1489" s="60"/>
      <c r="D1489" s="56"/>
    </row>
    <row r="1490" spans="1:4" x14ac:dyDescent="0.3">
      <c r="A1490" s="59"/>
      <c r="B1490" s="58"/>
      <c r="C1490" s="60"/>
      <c r="D1490" s="56"/>
    </row>
    <row r="1491" spans="1:4" x14ac:dyDescent="0.3">
      <c r="A1491" s="59"/>
      <c r="B1491" s="58"/>
      <c r="C1491" s="60"/>
      <c r="D1491" s="56"/>
    </row>
    <row r="1492" spans="1:4" x14ac:dyDescent="0.3">
      <c r="A1492" s="59"/>
      <c r="B1492" s="58"/>
      <c r="C1492" s="60"/>
      <c r="D1492" s="56"/>
    </row>
    <row r="1493" spans="1:4" x14ac:dyDescent="0.3">
      <c r="A1493" s="59"/>
      <c r="B1493" s="58"/>
      <c r="C1493" s="60"/>
      <c r="D1493" s="56"/>
    </row>
    <row r="1494" spans="1:4" x14ac:dyDescent="0.3">
      <c r="A1494" s="59"/>
      <c r="B1494" s="58"/>
      <c r="C1494" s="60"/>
      <c r="D1494" s="56"/>
    </row>
    <row r="1495" spans="1:4" x14ac:dyDescent="0.3">
      <c r="A1495" s="59"/>
      <c r="B1495" s="58"/>
      <c r="C1495" s="60"/>
      <c r="D1495" s="56"/>
    </row>
    <row r="1496" spans="1:4" x14ac:dyDescent="0.3">
      <c r="A1496" s="59"/>
      <c r="B1496" s="58"/>
      <c r="C1496" s="60"/>
      <c r="D1496" s="56"/>
    </row>
    <row r="1497" spans="1:4" x14ac:dyDescent="0.3">
      <c r="A1497" s="59"/>
      <c r="B1497" s="58"/>
      <c r="C1497" s="60"/>
      <c r="D1497" s="56"/>
    </row>
    <row r="1498" spans="1:4" x14ac:dyDescent="0.3">
      <c r="A1498" s="59"/>
      <c r="B1498" s="58"/>
      <c r="C1498" s="60"/>
      <c r="D1498" s="56"/>
    </row>
    <row r="1499" spans="1:4" x14ac:dyDescent="0.3">
      <c r="A1499" s="59"/>
      <c r="B1499" s="58"/>
      <c r="C1499" s="60"/>
      <c r="D1499" s="56"/>
    </row>
    <row r="1500" spans="1:4" ht="15" thickBot="1" x14ac:dyDescent="0.35">
      <c r="A1500" s="59"/>
      <c r="B1500" s="58"/>
      <c r="C1500" s="57"/>
      <c r="D1500" s="56"/>
    </row>
  </sheetData>
  <mergeCells count="1">
    <mergeCell ref="D2:E2"/>
  </mergeCells>
  <conditionalFormatting sqref="C1001:C1500">
    <cfRule type="colorScale" priority="64">
      <colorScale>
        <cfvo type="min"/>
        <cfvo type="max"/>
        <color rgb="FF00B0F0"/>
        <color rgb="FFFF0000"/>
      </colorScale>
    </cfRule>
  </conditionalFormatting>
  <conditionalFormatting sqref="C1001:C1500">
    <cfRule type="colorScale" priority="63">
      <colorScale>
        <cfvo type="min"/>
        <cfvo type="max"/>
        <color rgb="FF00B0F0"/>
        <color rgb="FFFF0000"/>
      </colorScale>
    </cfRule>
  </conditionalFormatting>
  <conditionalFormatting sqref="C1001:C1500">
    <cfRule type="colorScale" priority="62">
      <colorScale>
        <cfvo type="min"/>
        <cfvo type="max"/>
        <color rgb="FF00B0F0"/>
        <color rgb="FFFF0000"/>
      </colorScale>
    </cfRule>
  </conditionalFormatting>
  <conditionalFormatting sqref="C63:C111">
    <cfRule type="colorScale" priority="1">
      <colorScale>
        <cfvo type="min"/>
        <cfvo type="max"/>
        <color rgb="FF00B0F0"/>
        <color rgb="FFFF0000"/>
      </colorScale>
    </cfRule>
  </conditionalFormatting>
  <dataValidations count="1">
    <dataValidation type="list" allowBlank="1" showInputMessage="1" showErrorMessage="1" sqref="D2:E2" xr:uid="{00000000-0002-0000-0200-000000000000}">
      <formula1>$CV$1:$DD$1</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opulate">
                <anchor moveWithCells="1" sizeWithCells="1">
                  <from>
                    <xdr:col>3</xdr:col>
                    <xdr:colOff>0</xdr:colOff>
                    <xdr:row>0</xdr:row>
                    <xdr:rowOff>0</xdr:rowOff>
                  </from>
                  <to>
                    <xdr:col>5</xdr:col>
                    <xdr:colOff>0</xdr:colOff>
                    <xdr:row>0</xdr:row>
                    <xdr:rowOff>190500</xdr:rowOff>
                  </to>
                </anchor>
              </controlPr>
            </control>
          </mc:Choice>
        </mc:AlternateContent>
        <mc:AlternateContent xmlns:mc="http://schemas.openxmlformats.org/markup-compatibility/2006">
          <mc:Choice Requires="x14">
            <control shapeId="2050" r:id="rId5" name="Button 2">
              <controlPr defaultSize="0" print="0" autoFill="0" autoPict="0" macro="[0]!OKToContinue">
                <anchor moveWithCells="1" sizeWithCells="1">
                  <from>
                    <xdr:col>7</xdr:col>
                    <xdr:colOff>0</xdr:colOff>
                    <xdr:row>3</xdr:row>
                    <xdr:rowOff>0</xdr:rowOff>
                  </from>
                  <to>
                    <xdr:col>10</xdr:col>
                    <xdr:colOff>0</xdr:colOff>
                    <xdr:row>5</xdr:row>
                    <xdr:rowOff>0</xdr:rowOff>
                  </to>
                </anchor>
              </controlPr>
            </control>
          </mc:Choice>
        </mc:AlternateContent>
        <mc:AlternateContent xmlns:mc="http://schemas.openxmlformats.org/markup-compatibility/2006">
          <mc:Choice Requires="x14">
            <control shapeId="2051" r:id="rId6" name="Button 3">
              <controlPr defaultSize="0" print="0" autoFill="0" autoPict="0" macro="[0]!resolve">
                <anchor moveWithCells="1" sizeWithCells="1">
                  <from>
                    <xdr:col>3</xdr:col>
                    <xdr:colOff>0</xdr:colOff>
                    <xdr:row>2</xdr:row>
                    <xdr:rowOff>22860</xdr:rowOff>
                  </from>
                  <to>
                    <xdr:col>5</xdr:col>
                    <xdr:colOff>0</xdr:colOff>
                    <xdr:row>2</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D140"/>
  <sheetViews>
    <sheetView tabSelected="1" topLeftCell="N1" zoomScale="80" zoomScaleNormal="80" workbookViewId="0">
      <selection activeCell="Y39" sqref="Y39"/>
    </sheetView>
  </sheetViews>
  <sheetFormatPr defaultRowHeight="14.4" x14ac:dyDescent="0.3"/>
  <cols>
    <col min="1" max="1" width="12.33203125" style="69" customWidth="1"/>
    <col min="2" max="2" width="14" style="70" customWidth="1"/>
    <col min="3" max="3" width="10.5546875" style="71" customWidth="1"/>
    <col min="4" max="4" width="12.33203125" style="69" customWidth="1"/>
    <col min="5" max="5" width="18.33203125" style="70" customWidth="1"/>
    <col min="6" max="6" width="14" style="70" customWidth="1"/>
    <col min="7" max="7" width="10.6640625" style="70" customWidth="1"/>
    <col min="8" max="8" width="16.33203125" style="70" customWidth="1"/>
    <col min="9" max="9" width="10.5546875" style="72" customWidth="1"/>
    <col min="10" max="10" width="14.33203125" style="70" customWidth="1"/>
  </cols>
  <sheetData>
    <row r="1" spans="1:30" ht="15.6" x14ac:dyDescent="0.3">
      <c r="A1" s="69" t="s">
        <v>71</v>
      </c>
      <c r="B1" s="70" t="s">
        <v>70</v>
      </c>
      <c r="C1" s="71" t="s">
        <v>22</v>
      </c>
      <c r="D1" s="69" t="s">
        <v>71</v>
      </c>
      <c r="E1" s="70" t="s">
        <v>72</v>
      </c>
      <c r="F1" s="70" t="s">
        <v>73</v>
      </c>
      <c r="G1" s="70" t="s">
        <v>77</v>
      </c>
      <c r="H1" s="70" t="s">
        <v>78</v>
      </c>
      <c r="I1" s="72" t="s">
        <v>74</v>
      </c>
      <c r="J1" s="70" t="s">
        <v>75</v>
      </c>
      <c r="K1" s="44"/>
      <c r="L1" s="44"/>
      <c r="M1" s="44"/>
      <c r="N1" s="44"/>
      <c r="O1" s="44"/>
      <c r="P1" s="44"/>
      <c r="Q1" s="44"/>
      <c r="R1" s="44"/>
      <c r="S1" s="44"/>
      <c r="T1" s="44"/>
      <c r="U1" s="44"/>
      <c r="V1" s="44"/>
      <c r="W1" s="44"/>
      <c r="X1" s="44"/>
      <c r="Y1" s="44"/>
      <c r="Z1" s="44"/>
      <c r="AA1" s="44"/>
      <c r="AB1" s="44"/>
      <c r="AC1" s="44"/>
      <c r="AD1" s="44"/>
    </row>
    <row r="2" spans="1:30" x14ac:dyDescent="0.3">
      <c r="A2" s="69">
        <v>0</v>
      </c>
      <c r="B2" s="70">
        <v>-11</v>
      </c>
      <c r="C2" s="71">
        <v>0</v>
      </c>
      <c r="D2" s="69">
        <v>0</v>
      </c>
      <c r="E2" s="70">
        <v>-11</v>
      </c>
      <c r="F2" s="70">
        <v>0</v>
      </c>
      <c r="I2" s="72">
        <v>0</v>
      </c>
      <c r="J2" s="70">
        <v>0</v>
      </c>
    </row>
    <row r="3" spans="1:30" x14ac:dyDescent="0.3">
      <c r="A3" s="69">
        <v>1</v>
      </c>
      <c r="B3" s="70">
        <v>-10.875</v>
      </c>
      <c r="C3" s="71">
        <v>0</v>
      </c>
      <c r="D3" s="69">
        <v>1</v>
      </c>
      <c r="E3" s="70">
        <v>-10.75</v>
      </c>
      <c r="F3" s="70">
        <v>0</v>
      </c>
      <c r="I3" s="72">
        <v>0.5</v>
      </c>
      <c r="J3" s="70">
        <v>9.9999999999999936E-2</v>
      </c>
    </row>
    <row r="4" spans="1:30" x14ac:dyDescent="0.3">
      <c r="A4" s="69">
        <v>2</v>
      </c>
      <c r="B4" s="70">
        <v>-10.625</v>
      </c>
      <c r="C4" s="71">
        <v>0</v>
      </c>
      <c r="D4" s="69">
        <v>2</v>
      </c>
      <c r="E4" s="70">
        <v>-10.5</v>
      </c>
      <c r="F4" s="70">
        <v>0</v>
      </c>
      <c r="I4" s="72">
        <v>1</v>
      </c>
      <c r="J4" s="70">
        <v>0.14999999999999991</v>
      </c>
    </row>
    <row r="5" spans="1:30" x14ac:dyDescent="0.3">
      <c r="A5" s="69">
        <v>3</v>
      </c>
      <c r="B5" s="70">
        <v>-10.375</v>
      </c>
      <c r="C5" s="71">
        <v>0</v>
      </c>
      <c r="D5" s="69">
        <v>3</v>
      </c>
      <c r="E5" s="70">
        <v>-10.25</v>
      </c>
      <c r="F5" s="70">
        <v>0</v>
      </c>
      <c r="I5" s="72">
        <v>1.5</v>
      </c>
      <c r="J5" s="70">
        <v>0.14999999999999991</v>
      </c>
    </row>
    <row r="6" spans="1:30" x14ac:dyDescent="0.3">
      <c r="A6" s="69">
        <v>4</v>
      </c>
      <c r="B6" s="70">
        <v>-10.125</v>
      </c>
      <c r="C6" s="71">
        <v>0</v>
      </c>
      <c r="D6" s="69">
        <v>4</v>
      </c>
      <c r="E6" s="70">
        <v>-10</v>
      </c>
      <c r="F6" s="70">
        <v>0</v>
      </c>
      <c r="I6" s="72">
        <v>2</v>
      </c>
      <c r="J6" s="70">
        <v>0.19999999999999984</v>
      </c>
    </row>
    <row r="7" spans="1:30" x14ac:dyDescent="0.3">
      <c r="A7" s="69">
        <v>5</v>
      </c>
      <c r="B7" s="70">
        <v>-9.875</v>
      </c>
      <c r="C7" s="71">
        <v>0</v>
      </c>
      <c r="D7" s="69">
        <v>5</v>
      </c>
      <c r="E7" s="70">
        <v>-9.75</v>
      </c>
      <c r="F7" s="70">
        <v>0</v>
      </c>
      <c r="I7" s="72">
        <v>2.5</v>
      </c>
      <c r="J7" s="70">
        <v>0.19999999999999984</v>
      </c>
    </row>
    <row r="8" spans="1:30" x14ac:dyDescent="0.3">
      <c r="A8" s="69">
        <v>6</v>
      </c>
      <c r="B8" s="70">
        <v>-9.625</v>
      </c>
      <c r="C8" s="71">
        <v>0</v>
      </c>
      <c r="D8" s="69">
        <v>6</v>
      </c>
      <c r="E8" s="70">
        <v>-9.5</v>
      </c>
      <c r="F8" s="70">
        <v>0</v>
      </c>
      <c r="I8" s="72">
        <v>3</v>
      </c>
      <c r="J8" s="70">
        <v>0.24999999999999981</v>
      </c>
    </row>
    <row r="9" spans="1:30" x14ac:dyDescent="0.3">
      <c r="A9" s="69">
        <v>7</v>
      </c>
      <c r="B9" s="70">
        <v>-9.375</v>
      </c>
      <c r="C9" s="71">
        <v>0</v>
      </c>
      <c r="D9" s="69">
        <v>7</v>
      </c>
      <c r="E9" s="70">
        <v>-9.25</v>
      </c>
      <c r="F9" s="70">
        <v>0</v>
      </c>
      <c r="I9" s="72">
        <v>3.5</v>
      </c>
      <c r="J9" s="70">
        <v>0.24999999999999981</v>
      </c>
    </row>
    <row r="10" spans="1:30" x14ac:dyDescent="0.3">
      <c r="A10" s="69">
        <v>8</v>
      </c>
      <c r="B10" s="70">
        <v>-9.125</v>
      </c>
      <c r="C10" s="71">
        <v>0</v>
      </c>
      <c r="D10" s="69">
        <v>8</v>
      </c>
      <c r="E10" s="70">
        <v>-9</v>
      </c>
      <c r="F10" s="70">
        <v>0</v>
      </c>
      <c r="I10" s="72">
        <v>4</v>
      </c>
      <c r="J10" s="70">
        <v>0.29999999999999977</v>
      </c>
    </row>
    <row r="11" spans="1:30" x14ac:dyDescent="0.3">
      <c r="A11" s="69">
        <v>9</v>
      </c>
      <c r="B11" s="70">
        <v>-8.875</v>
      </c>
      <c r="C11" s="71">
        <v>0</v>
      </c>
      <c r="D11" s="69">
        <v>9</v>
      </c>
      <c r="E11" s="70">
        <v>-8.75</v>
      </c>
      <c r="F11" s="70">
        <v>0</v>
      </c>
      <c r="I11" s="72">
        <v>4.5</v>
      </c>
      <c r="J11" s="70">
        <v>0.29999999999999977</v>
      </c>
    </row>
    <row r="12" spans="1:30" x14ac:dyDescent="0.3">
      <c r="A12" s="69">
        <v>10</v>
      </c>
      <c r="B12" s="70">
        <v>-8.625</v>
      </c>
      <c r="C12" s="71">
        <v>0</v>
      </c>
      <c r="D12" s="69">
        <v>10</v>
      </c>
      <c r="E12" s="70">
        <v>-8.5</v>
      </c>
      <c r="F12" s="70">
        <v>0</v>
      </c>
      <c r="I12" s="72">
        <v>5</v>
      </c>
      <c r="J12" s="70">
        <v>0.3499999999999997</v>
      </c>
    </row>
    <row r="13" spans="1:30" x14ac:dyDescent="0.3">
      <c r="A13" s="69">
        <v>11</v>
      </c>
      <c r="B13" s="70">
        <v>-8.375</v>
      </c>
      <c r="C13" s="71">
        <v>0</v>
      </c>
      <c r="D13" s="69">
        <v>11</v>
      </c>
      <c r="E13" s="70">
        <v>-8.25</v>
      </c>
      <c r="F13" s="70">
        <v>0</v>
      </c>
      <c r="I13" s="72">
        <v>5.5</v>
      </c>
      <c r="J13" s="70">
        <v>0.3499999999999997</v>
      </c>
    </row>
    <row r="14" spans="1:30" x14ac:dyDescent="0.3">
      <c r="A14" s="69">
        <v>12</v>
      </c>
      <c r="B14" s="70">
        <v>-8.125</v>
      </c>
      <c r="C14" s="71">
        <v>0</v>
      </c>
      <c r="D14" s="69">
        <v>12</v>
      </c>
      <c r="E14" s="70">
        <v>-8</v>
      </c>
      <c r="F14" s="70">
        <v>0</v>
      </c>
      <c r="I14" s="72">
        <v>6</v>
      </c>
      <c r="J14" s="70">
        <v>0.39999999999999963</v>
      </c>
    </row>
    <row r="15" spans="1:30" x14ac:dyDescent="0.3">
      <c r="A15" s="69">
        <v>13</v>
      </c>
      <c r="B15" s="70">
        <v>-7.875</v>
      </c>
      <c r="C15" s="71">
        <v>0</v>
      </c>
      <c r="D15" s="69">
        <v>13</v>
      </c>
      <c r="E15" s="70">
        <v>-7.75</v>
      </c>
      <c r="F15" s="70">
        <v>0</v>
      </c>
      <c r="I15" s="72">
        <v>6.5</v>
      </c>
      <c r="J15" s="70">
        <v>0.39999999999999963</v>
      </c>
    </row>
    <row r="16" spans="1:30" x14ac:dyDescent="0.3">
      <c r="A16" s="69">
        <v>14</v>
      </c>
      <c r="B16" s="70">
        <v>-7.625</v>
      </c>
      <c r="C16" s="71">
        <v>0</v>
      </c>
      <c r="D16" s="69">
        <v>14</v>
      </c>
      <c r="E16" s="70">
        <v>-7.5</v>
      </c>
      <c r="F16" s="70">
        <v>0</v>
      </c>
      <c r="I16" s="72">
        <v>7</v>
      </c>
      <c r="J16" s="70">
        <v>0.44999999999999962</v>
      </c>
    </row>
    <row r="17" spans="1:10" x14ac:dyDescent="0.3">
      <c r="A17" s="69">
        <v>15</v>
      </c>
      <c r="B17" s="70">
        <v>-7.375</v>
      </c>
      <c r="C17" s="71">
        <v>0</v>
      </c>
      <c r="D17" s="69">
        <v>15</v>
      </c>
      <c r="E17" s="70">
        <v>-7.25</v>
      </c>
      <c r="F17" s="70">
        <v>0</v>
      </c>
      <c r="I17" s="72">
        <v>7.5</v>
      </c>
      <c r="J17" s="70">
        <v>0.44999999999999962</v>
      </c>
    </row>
    <row r="18" spans="1:10" x14ac:dyDescent="0.3">
      <c r="A18" s="69">
        <v>16</v>
      </c>
      <c r="B18" s="70">
        <v>-7.125</v>
      </c>
      <c r="C18" s="71">
        <v>0</v>
      </c>
      <c r="D18" s="69">
        <v>16</v>
      </c>
      <c r="E18" s="70">
        <v>-7</v>
      </c>
      <c r="F18" s="70">
        <v>0</v>
      </c>
      <c r="I18" s="72">
        <v>8</v>
      </c>
      <c r="J18" s="70">
        <v>0.44999999999999962</v>
      </c>
    </row>
    <row r="19" spans="1:10" x14ac:dyDescent="0.3">
      <c r="A19" s="69">
        <v>17</v>
      </c>
      <c r="B19" s="70">
        <v>-6.875</v>
      </c>
      <c r="C19" s="71">
        <v>0</v>
      </c>
      <c r="D19" s="69">
        <v>17</v>
      </c>
      <c r="E19" s="70">
        <v>-6.75</v>
      </c>
      <c r="F19" s="70">
        <v>0</v>
      </c>
      <c r="I19" s="72">
        <v>8.5</v>
      </c>
      <c r="J19" s="70">
        <v>0.49999999999999961</v>
      </c>
    </row>
    <row r="20" spans="1:10" x14ac:dyDescent="0.3">
      <c r="A20" s="69">
        <v>18</v>
      </c>
      <c r="B20" s="70">
        <v>-6.625</v>
      </c>
      <c r="C20" s="71">
        <v>0</v>
      </c>
      <c r="D20" s="69">
        <v>18</v>
      </c>
      <c r="E20" s="70">
        <v>-6.5</v>
      </c>
      <c r="F20" s="70">
        <v>0</v>
      </c>
      <c r="I20" s="72">
        <v>9</v>
      </c>
      <c r="J20" s="70">
        <v>0.49999999999999961</v>
      </c>
    </row>
    <row r="21" spans="1:10" x14ac:dyDescent="0.3">
      <c r="A21" s="69">
        <v>19</v>
      </c>
      <c r="B21" s="70">
        <v>-6.375</v>
      </c>
      <c r="C21" s="71">
        <v>0</v>
      </c>
      <c r="D21" s="69">
        <v>19</v>
      </c>
      <c r="E21" s="70">
        <v>-6.25</v>
      </c>
      <c r="F21" s="70">
        <v>0</v>
      </c>
      <c r="I21" s="72">
        <v>9.5</v>
      </c>
      <c r="J21" s="70">
        <v>0.49999999999999961</v>
      </c>
    </row>
    <row r="22" spans="1:10" x14ac:dyDescent="0.3">
      <c r="A22" s="69">
        <v>20</v>
      </c>
      <c r="B22" s="70">
        <v>-6.125</v>
      </c>
      <c r="C22" s="71">
        <v>0</v>
      </c>
      <c r="D22" s="69">
        <v>20</v>
      </c>
      <c r="E22" s="70">
        <v>-6</v>
      </c>
      <c r="F22" s="70">
        <v>0</v>
      </c>
      <c r="I22" s="72">
        <v>10</v>
      </c>
      <c r="J22" s="70">
        <v>0.5499999999999996</v>
      </c>
    </row>
    <row r="23" spans="1:10" x14ac:dyDescent="0.3">
      <c r="A23" s="69">
        <v>21</v>
      </c>
      <c r="B23" s="70">
        <v>-5.875</v>
      </c>
      <c r="C23" s="71">
        <v>0</v>
      </c>
      <c r="D23" s="69">
        <v>21</v>
      </c>
      <c r="E23" s="70">
        <v>-5.75</v>
      </c>
      <c r="F23" s="70">
        <v>0</v>
      </c>
      <c r="I23" s="72">
        <v>10.5</v>
      </c>
      <c r="J23" s="70">
        <v>0.5499999999999996</v>
      </c>
    </row>
    <row r="24" spans="1:10" x14ac:dyDescent="0.3">
      <c r="A24" s="69">
        <v>22</v>
      </c>
      <c r="B24" s="70">
        <v>-5.625</v>
      </c>
      <c r="C24" s="71">
        <v>0</v>
      </c>
      <c r="D24" s="69">
        <v>22</v>
      </c>
      <c r="E24" s="70">
        <v>-5.5</v>
      </c>
      <c r="F24" s="70">
        <v>0</v>
      </c>
      <c r="I24" s="72">
        <v>11</v>
      </c>
      <c r="J24" s="70">
        <v>0.5499999999999996</v>
      </c>
    </row>
    <row r="25" spans="1:10" x14ac:dyDescent="0.3">
      <c r="A25" s="69">
        <v>23</v>
      </c>
      <c r="B25" s="70">
        <v>-5.375</v>
      </c>
      <c r="C25" s="71">
        <v>0</v>
      </c>
      <c r="D25" s="69">
        <v>23</v>
      </c>
      <c r="E25" s="70">
        <v>-5.25</v>
      </c>
      <c r="F25" s="70">
        <v>0</v>
      </c>
      <c r="I25" s="72">
        <v>11.5</v>
      </c>
      <c r="J25" s="70">
        <v>0.5499999999999996</v>
      </c>
    </row>
    <row r="26" spans="1:10" x14ac:dyDescent="0.3">
      <c r="A26" s="69">
        <v>24</v>
      </c>
      <c r="B26" s="70">
        <v>-5.125</v>
      </c>
      <c r="C26" s="71">
        <v>0</v>
      </c>
      <c r="D26" s="69">
        <v>24</v>
      </c>
      <c r="E26" s="70">
        <v>-5</v>
      </c>
      <c r="F26" s="70">
        <v>0</v>
      </c>
      <c r="I26" s="72">
        <v>12</v>
      </c>
      <c r="J26" s="70">
        <v>0.59999999999999964</v>
      </c>
    </row>
    <row r="27" spans="1:10" x14ac:dyDescent="0.3">
      <c r="A27" s="69">
        <v>25</v>
      </c>
      <c r="B27" s="70">
        <v>-4.875</v>
      </c>
      <c r="C27" s="71">
        <v>0</v>
      </c>
      <c r="D27" s="69">
        <v>25</v>
      </c>
      <c r="E27" s="70">
        <v>-4.75</v>
      </c>
      <c r="F27" s="70">
        <v>0</v>
      </c>
      <c r="I27" s="72">
        <v>12.5</v>
      </c>
      <c r="J27" s="70">
        <v>0.59999999999999964</v>
      </c>
    </row>
    <row r="28" spans="1:10" x14ac:dyDescent="0.3">
      <c r="A28" s="69">
        <v>26</v>
      </c>
      <c r="B28" s="70">
        <v>-4.625</v>
      </c>
      <c r="C28" s="71">
        <v>0</v>
      </c>
      <c r="D28" s="69">
        <v>26</v>
      </c>
      <c r="E28" s="70">
        <v>-4.5</v>
      </c>
      <c r="F28" s="70">
        <v>0</v>
      </c>
      <c r="I28" s="72">
        <v>13</v>
      </c>
      <c r="J28" s="70">
        <v>0.59999999999999964</v>
      </c>
    </row>
    <row r="29" spans="1:10" x14ac:dyDescent="0.3">
      <c r="A29" s="69">
        <v>27</v>
      </c>
      <c r="B29" s="70">
        <v>-4.375</v>
      </c>
      <c r="C29" s="71">
        <v>0</v>
      </c>
      <c r="D29" s="69">
        <v>27</v>
      </c>
      <c r="E29" s="70">
        <v>-4.25</v>
      </c>
      <c r="F29" s="70">
        <v>0</v>
      </c>
      <c r="I29" s="72">
        <v>13.5</v>
      </c>
      <c r="J29" s="70">
        <v>0.6499999999999998</v>
      </c>
    </row>
    <row r="30" spans="1:10" x14ac:dyDescent="0.3">
      <c r="A30" s="69">
        <v>28</v>
      </c>
      <c r="B30" s="70">
        <v>-4.125</v>
      </c>
      <c r="C30" s="71">
        <v>0</v>
      </c>
      <c r="D30" s="69">
        <v>28</v>
      </c>
      <c r="E30" s="70">
        <v>-4</v>
      </c>
      <c r="F30" s="70">
        <v>0</v>
      </c>
      <c r="I30" s="72">
        <v>14</v>
      </c>
      <c r="J30" s="70">
        <v>0.6499999999999998</v>
      </c>
    </row>
    <row r="31" spans="1:10" x14ac:dyDescent="0.3">
      <c r="A31" s="69">
        <v>29</v>
      </c>
      <c r="B31" s="70">
        <v>-3.875</v>
      </c>
      <c r="C31" s="71">
        <v>0</v>
      </c>
      <c r="D31" s="69">
        <v>29</v>
      </c>
      <c r="E31" s="70">
        <v>-3.75</v>
      </c>
      <c r="F31" s="70">
        <v>0</v>
      </c>
      <c r="I31" s="72">
        <v>14.5</v>
      </c>
      <c r="J31" s="70">
        <v>0.6499999999999998</v>
      </c>
    </row>
    <row r="32" spans="1:10" x14ac:dyDescent="0.3">
      <c r="A32" s="69">
        <v>30</v>
      </c>
      <c r="B32" s="70">
        <v>-3.625</v>
      </c>
      <c r="C32" s="71">
        <v>0</v>
      </c>
      <c r="D32" s="69">
        <v>30</v>
      </c>
      <c r="E32" s="70">
        <v>-3.5</v>
      </c>
      <c r="F32" s="70">
        <v>0</v>
      </c>
      <c r="I32" s="72">
        <v>15</v>
      </c>
      <c r="J32" s="70">
        <v>0.6499999999999998</v>
      </c>
    </row>
    <row r="33" spans="1:10" x14ac:dyDescent="0.3">
      <c r="A33" s="69">
        <v>31</v>
      </c>
      <c r="B33" s="70">
        <v>-3.375</v>
      </c>
      <c r="C33" s="71">
        <v>0</v>
      </c>
      <c r="D33" s="69">
        <v>31</v>
      </c>
      <c r="E33" s="70">
        <v>-3.25</v>
      </c>
      <c r="F33" s="70">
        <v>0</v>
      </c>
      <c r="I33" s="72">
        <v>15.5</v>
      </c>
      <c r="J33" s="70">
        <v>0.6499999999999998</v>
      </c>
    </row>
    <row r="34" spans="1:10" x14ac:dyDescent="0.3">
      <c r="A34" s="69">
        <v>32</v>
      </c>
      <c r="B34" s="70">
        <v>-3.125</v>
      </c>
      <c r="C34" s="71">
        <v>0</v>
      </c>
      <c r="D34" s="69">
        <v>32</v>
      </c>
      <c r="E34" s="70">
        <v>-3</v>
      </c>
      <c r="F34" s="70">
        <v>0</v>
      </c>
      <c r="I34" s="72">
        <v>16</v>
      </c>
      <c r="J34" s="70">
        <v>0.69999999999999984</v>
      </c>
    </row>
    <row r="35" spans="1:10" x14ac:dyDescent="0.3">
      <c r="A35" s="69">
        <v>33</v>
      </c>
      <c r="B35" s="70">
        <v>-2.875</v>
      </c>
      <c r="C35" s="71">
        <v>0</v>
      </c>
      <c r="D35" s="69">
        <v>33</v>
      </c>
      <c r="E35" s="70">
        <v>-2.75</v>
      </c>
      <c r="F35" s="70">
        <v>0</v>
      </c>
      <c r="I35" s="72">
        <v>16.5</v>
      </c>
      <c r="J35" s="70">
        <v>0.69999999999999984</v>
      </c>
    </row>
    <row r="36" spans="1:10" x14ac:dyDescent="0.3">
      <c r="A36" s="69">
        <v>34</v>
      </c>
      <c r="B36" s="70">
        <v>-2.625</v>
      </c>
      <c r="C36" s="71">
        <v>0</v>
      </c>
      <c r="D36" s="69">
        <v>34</v>
      </c>
      <c r="E36" s="70">
        <v>-2.5</v>
      </c>
      <c r="F36" s="70">
        <v>0</v>
      </c>
      <c r="I36" s="72">
        <v>17</v>
      </c>
      <c r="J36" s="70">
        <v>0.69999999999999984</v>
      </c>
    </row>
    <row r="37" spans="1:10" x14ac:dyDescent="0.3">
      <c r="A37" s="69">
        <v>35</v>
      </c>
      <c r="B37" s="70">
        <v>-2.375</v>
      </c>
      <c r="C37" s="71">
        <v>0</v>
      </c>
      <c r="D37" s="69">
        <v>35</v>
      </c>
      <c r="E37" s="70">
        <v>-2.25</v>
      </c>
      <c r="F37" s="70">
        <v>0</v>
      </c>
      <c r="I37" s="72">
        <v>17.5</v>
      </c>
      <c r="J37" s="70">
        <v>0.69999999999999984</v>
      </c>
    </row>
    <row r="38" spans="1:10" x14ac:dyDescent="0.3">
      <c r="A38" s="69">
        <v>36</v>
      </c>
      <c r="B38" s="70">
        <v>-2.125</v>
      </c>
      <c r="C38" s="71">
        <v>0</v>
      </c>
      <c r="D38" s="69">
        <v>36</v>
      </c>
      <c r="E38" s="70">
        <v>-2</v>
      </c>
      <c r="F38" s="70">
        <v>0</v>
      </c>
      <c r="I38" s="72">
        <v>18</v>
      </c>
      <c r="J38" s="70">
        <v>0.69999999999999984</v>
      </c>
    </row>
    <row r="39" spans="1:10" x14ac:dyDescent="0.3">
      <c r="A39" s="69">
        <v>37</v>
      </c>
      <c r="B39" s="70">
        <v>-1.875</v>
      </c>
      <c r="C39" s="71">
        <v>0</v>
      </c>
      <c r="D39" s="69">
        <v>37</v>
      </c>
      <c r="E39" s="70">
        <v>-1.75</v>
      </c>
      <c r="F39" s="70">
        <v>0</v>
      </c>
      <c r="I39" s="72">
        <v>18.5</v>
      </c>
      <c r="J39" s="70">
        <v>0.74999999999999989</v>
      </c>
    </row>
    <row r="40" spans="1:10" x14ac:dyDescent="0.3">
      <c r="A40" s="69">
        <v>38</v>
      </c>
      <c r="B40" s="70">
        <v>-1.625</v>
      </c>
      <c r="C40" s="71">
        <v>0</v>
      </c>
      <c r="D40" s="69">
        <v>38</v>
      </c>
      <c r="E40" s="70">
        <v>-1.5</v>
      </c>
      <c r="F40" s="70">
        <v>0</v>
      </c>
      <c r="I40" s="72">
        <v>19</v>
      </c>
      <c r="J40" s="70">
        <v>0.74999999999999989</v>
      </c>
    </row>
    <row r="41" spans="1:10" x14ac:dyDescent="0.3">
      <c r="A41" s="69">
        <v>39</v>
      </c>
      <c r="B41" s="70">
        <v>-1.375</v>
      </c>
      <c r="C41" s="71">
        <v>0</v>
      </c>
      <c r="D41" s="69">
        <v>39</v>
      </c>
      <c r="E41" s="70">
        <v>-1.25</v>
      </c>
      <c r="F41" s="70">
        <v>0</v>
      </c>
      <c r="I41" s="72">
        <v>19.5</v>
      </c>
      <c r="J41" s="70">
        <v>0.74999999999999989</v>
      </c>
    </row>
    <row r="42" spans="1:10" x14ac:dyDescent="0.3">
      <c r="A42" s="69">
        <v>40</v>
      </c>
      <c r="B42" s="70">
        <v>-1.125</v>
      </c>
      <c r="C42" s="71">
        <v>0</v>
      </c>
      <c r="D42" s="69">
        <v>40</v>
      </c>
      <c r="E42" s="70">
        <v>-1</v>
      </c>
      <c r="F42" s="70">
        <v>0</v>
      </c>
      <c r="I42" s="72">
        <v>20</v>
      </c>
      <c r="J42" s="70">
        <v>0.74999999999999989</v>
      </c>
    </row>
    <row r="43" spans="1:10" x14ac:dyDescent="0.3">
      <c r="A43" s="69">
        <v>41</v>
      </c>
      <c r="B43" s="70">
        <v>-0.875</v>
      </c>
      <c r="C43" s="71">
        <v>0</v>
      </c>
      <c r="D43" s="69">
        <v>41</v>
      </c>
      <c r="E43" s="70">
        <v>-0.75</v>
      </c>
      <c r="F43" s="70">
        <v>0</v>
      </c>
      <c r="I43" s="72">
        <v>20.5</v>
      </c>
      <c r="J43" s="70">
        <v>0.74999999999999989</v>
      </c>
    </row>
    <row r="44" spans="1:10" x14ac:dyDescent="0.3">
      <c r="A44" s="69">
        <v>42</v>
      </c>
      <c r="B44" s="70">
        <v>-0.625</v>
      </c>
      <c r="C44" s="71">
        <v>0</v>
      </c>
      <c r="D44" s="69">
        <v>42</v>
      </c>
      <c r="E44" s="70">
        <v>-0.5</v>
      </c>
      <c r="F44" s="70">
        <v>0</v>
      </c>
      <c r="I44" s="72">
        <v>21</v>
      </c>
      <c r="J44" s="70">
        <v>0.74999999999999989</v>
      </c>
    </row>
    <row r="45" spans="1:10" x14ac:dyDescent="0.3">
      <c r="A45" s="69">
        <v>43</v>
      </c>
      <c r="B45" s="70">
        <v>-0.375</v>
      </c>
      <c r="C45" s="71">
        <v>0</v>
      </c>
      <c r="D45" s="69">
        <v>43</v>
      </c>
      <c r="E45" s="70">
        <v>-0.25</v>
      </c>
      <c r="F45" s="70">
        <v>0</v>
      </c>
      <c r="I45" s="72">
        <v>21.5</v>
      </c>
      <c r="J45" s="70">
        <v>0.79999999999999993</v>
      </c>
    </row>
    <row r="46" spans="1:10" x14ac:dyDescent="0.3">
      <c r="A46" s="69">
        <v>44</v>
      </c>
      <c r="B46" s="70">
        <v>-0.125</v>
      </c>
      <c r="C46" s="71">
        <v>0</v>
      </c>
      <c r="D46" s="69">
        <v>44</v>
      </c>
      <c r="E46" s="70">
        <v>0</v>
      </c>
      <c r="F46" s="70">
        <v>0</v>
      </c>
      <c r="H46" s="70">
        <v>68.980378767521842</v>
      </c>
      <c r="I46" s="72">
        <v>22</v>
      </c>
      <c r="J46" s="70">
        <v>0.79999999999999993</v>
      </c>
    </row>
    <row r="47" spans="1:10" x14ac:dyDescent="0.3">
      <c r="A47" s="69">
        <v>45</v>
      </c>
      <c r="B47" s="70">
        <v>0.125</v>
      </c>
      <c r="C47" s="71">
        <v>2.1588627667893656E-4</v>
      </c>
      <c r="D47" s="69">
        <v>45</v>
      </c>
      <c r="E47" s="70">
        <v>0.25</v>
      </c>
      <c r="F47" s="70">
        <v>1.7591996456528546E-2</v>
      </c>
      <c r="G47" s="70">
        <v>241.58713370038154</v>
      </c>
      <c r="H47" s="70">
        <v>40.558363038065195</v>
      </c>
      <c r="I47" s="72">
        <v>22.5</v>
      </c>
      <c r="J47" s="70">
        <v>0.79999999999999993</v>
      </c>
    </row>
    <row r="48" spans="1:10" x14ac:dyDescent="0.3">
      <c r="A48" s="69">
        <v>46</v>
      </c>
      <c r="B48" s="70">
        <v>0.375</v>
      </c>
      <c r="C48" s="71">
        <v>2.1588627667893656E-4</v>
      </c>
      <c r="D48" s="69">
        <v>46</v>
      </c>
      <c r="E48" s="70">
        <v>0.5</v>
      </c>
      <c r="F48" s="70">
        <v>3.5183992913057092E-2</v>
      </c>
      <c r="G48" s="70">
        <v>113.6880629178266</v>
      </c>
      <c r="H48" s="70">
        <v>31.084357794912975</v>
      </c>
      <c r="I48" s="72">
        <v>23</v>
      </c>
      <c r="J48" s="70">
        <v>0.79999999999999993</v>
      </c>
    </row>
    <row r="49" spans="1:10" x14ac:dyDescent="0.3">
      <c r="A49" s="69">
        <v>47</v>
      </c>
      <c r="B49" s="70">
        <v>0.625</v>
      </c>
      <c r="C49" s="71">
        <v>2.1588627667893656E-4</v>
      </c>
      <c r="D49" s="69">
        <v>47</v>
      </c>
      <c r="E49" s="70">
        <v>0.75</v>
      </c>
      <c r="F49" s="70">
        <v>5.2775989369585635E-2</v>
      </c>
      <c r="G49" s="70">
        <v>71.055039323641637</v>
      </c>
      <c r="H49" s="70">
        <v>25.399954649021645</v>
      </c>
      <c r="I49" s="72">
        <v>23.5</v>
      </c>
      <c r="J49" s="70">
        <v>0.79999999999999993</v>
      </c>
    </row>
    <row r="50" spans="1:10" x14ac:dyDescent="0.3">
      <c r="A50" s="69">
        <v>48</v>
      </c>
      <c r="B50" s="70">
        <v>0.875</v>
      </c>
      <c r="C50" s="71">
        <v>2.1588627667893656E-4</v>
      </c>
      <c r="D50" s="69">
        <v>48</v>
      </c>
      <c r="E50" s="70">
        <v>1</v>
      </c>
      <c r="F50" s="70">
        <v>7.0367985826114185E-2</v>
      </c>
      <c r="G50" s="70">
        <v>49.738527526549142</v>
      </c>
      <c r="H50" s="70">
        <v>21.339666687670693</v>
      </c>
      <c r="I50" s="72">
        <v>24</v>
      </c>
      <c r="J50" s="70">
        <v>0.79999999999999993</v>
      </c>
    </row>
    <row r="51" spans="1:10" x14ac:dyDescent="0.3">
      <c r="A51" s="69">
        <v>49</v>
      </c>
      <c r="B51" s="70">
        <v>1.125</v>
      </c>
      <c r="C51" s="71">
        <v>2.1588627667893656E-4</v>
      </c>
      <c r="D51" s="69">
        <v>49</v>
      </c>
      <c r="E51" s="70">
        <v>1.25</v>
      </c>
      <c r="F51" s="70">
        <v>8.7959982282642735E-2</v>
      </c>
      <c r="G51" s="70">
        <v>36.948620448293646</v>
      </c>
      <c r="H51" s="70">
        <v>18.181664939953286</v>
      </c>
      <c r="I51" s="72">
        <v>24.5</v>
      </c>
      <c r="J51" s="70">
        <v>0.79999999999999993</v>
      </c>
    </row>
    <row r="52" spans="1:10" x14ac:dyDescent="0.3">
      <c r="A52" s="69">
        <v>50</v>
      </c>
      <c r="B52" s="70">
        <v>1.375</v>
      </c>
      <c r="C52" s="71">
        <v>2.1588627667893656E-4</v>
      </c>
      <c r="D52" s="69">
        <v>50</v>
      </c>
      <c r="E52" s="70">
        <v>1.5</v>
      </c>
      <c r="F52" s="70">
        <v>0.10555197873917128</v>
      </c>
      <c r="G52" s="70">
        <v>28.42201572945665</v>
      </c>
      <c r="H52" s="70">
        <v>15.597845328184501</v>
      </c>
      <c r="I52" s="72">
        <v>25</v>
      </c>
      <c r="J52" s="70">
        <v>0.79999999999999993</v>
      </c>
    </row>
    <row r="53" spans="1:10" x14ac:dyDescent="0.3">
      <c r="A53" s="69">
        <v>51</v>
      </c>
      <c r="B53" s="70">
        <v>1.625</v>
      </c>
      <c r="C53" s="71">
        <v>2.1588627667893656E-4</v>
      </c>
      <c r="D53" s="69">
        <v>51</v>
      </c>
      <c r="E53" s="70">
        <v>1.75</v>
      </c>
      <c r="F53" s="70">
        <v>0.12314397519569983</v>
      </c>
      <c r="G53" s="70">
        <v>22.331583787430223</v>
      </c>
      <c r="H53" s="70">
        <v>13.411536425918605</v>
      </c>
      <c r="I53" s="72">
        <v>25.5</v>
      </c>
      <c r="J53" s="70">
        <v>0.85</v>
      </c>
    </row>
    <row r="54" spans="1:10" x14ac:dyDescent="0.3">
      <c r="A54" s="69">
        <v>52</v>
      </c>
      <c r="B54" s="70">
        <v>1.875</v>
      </c>
      <c r="C54" s="71">
        <v>2.1588627667893656E-4</v>
      </c>
      <c r="D54" s="69">
        <v>52</v>
      </c>
      <c r="E54" s="70">
        <v>2</v>
      </c>
      <c r="F54" s="70">
        <v>0.14073597165222837</v>
      </c>
      <c r="G54" s="70">
        <v>17.763759830910406</v>
      </c>
      <c r="H54" s="70">
        <v>11.516735377288162</v>
      </c>
      <c r="I54" s="72">
        <v>26</v>
      </c>
      <c r="J54" s="70">
        <v>0.85</v>
      </c>
    </row>
    <row r="55" spans="1:10" x14ac:dyDescent="0.3">
      <c r="A55" s="69">
        <v>53</v>
      </c>
      <c r="B55" s="70">
        <v>2.125</v>
      </c>
      <c r="C55" s="71">
        <v>2.1588627667893656E-4</v>
      </c>
      <c r="D55" s="69">
        <v>53</v>
      </c>
      <c r="E55" s="70">
        <v>2.25</v>
      </c>
      <c r="F55" s="70">
        <v>0.15832796810875691</v>
      </c>
      <c r="G55" s="70">
        <v>14.211007864728327</v>
      </c>
      <c r="H55" s="70">
        <v>9.8448520990848305</v>
      </c>
      <c r="I55" s="72">
        <v>26.5</v>
      </c>
      <c r="J55" s="70">
        <v>0.85</v>
      </c>
    </row>
    <row r="56" spans="1:10" x14ac:dyDescent="0.3">
      <c r="A56" s="69">
        <v>54</v>
      </c>
      <c r="B56" s="70">
        <v>2.375</v>
      </c>
      <c r="C56" s="71">
        <v>2.1588627667893656E-4</v>
      </c>
      <c r="D56" s="69">
        <v>54</v>
      </c>
      <c r="E56" s="70">
        <v>2.5</v>
      </c>
      <c r="F56" s="70">
        <v>0.17591996456528544</v>
      </c>
      <c r="G56" s="70">
        <v>11.368806291782661</v>
      </c>
      <c r="H56" s="70">
        <v>8.348956534376585</v>
      </c>
      <c r="I56" s="72">
        <v>27</v>
      </c>
      <c r="J56" s="70">
        <v>0.85</v>
      </c>
    </row>
    <row r="57" spans="1:10" x14ac:dyDescent="0.3">
      <c r="A57" s="69">
        <v>55</v>
      </c>
      <c r="B57" s="70">
        <v>2.625</v>
      </c>
      <c r="C57" s="71">
        <v>2.1588627667893656E-4</v>
      </c>
      <c r="D57" s="69">
        <v>55</v>
      </c>
      <c r="E57" s="70">
        <v>2.75</v>
      </c>
      <c r="F57" s="70">
        <v>0.19351196102181398</v>
      </c>
      <c r="G57" s="70">
        <v>9.043368641190753</v>
      </c>
      <c r="H57" s="70">
        <v>6.9955272139262688</v>
      </c>
      <c r="I57" s="72">
        <v>27.5</v>
      </c>
      <c r="J57" s="70">
        <v>0.85</v>
      </c>
    </row>
    <row r="58" spans="1:10" x14ac:dyDescent="0.3">
      <c r="A58" s="69">
        <v>56</v>
      </c>
      <c r="B58" s="70">
        <v>2.875</v>
      </c>
      <c r="C58" s="71">
        <v>2.1588627667893656E-4</v>
      </c>
      <c r="D58" s="69">
        <v>56</v>
      </c>
      <c r="E58" s="70">
        <v>3</v>
      </c>
      <c r="F58" s="70">
        <v>0.21110395747834251</v>
      </c>
      <c r="G58" s="70">
        <v>7.1055039323641642</v>
      </c>
      <c r="H58" s="70">
        <v>5.7597873996020663</v>
      </c>
      <c r="I58" s="72">
        <v>28</v>
      </c>
      <c r="J58" s="70">
        <v>0.85</v>
      </c>
    </row>
    <row r="59" spans="1:10" x14ac:dyDescent="0.3">
      <c r="A59" s="69">
        <v>57</v>
      </c>
      <c r="B59" s="70">
        <v>3.125</v>
      </c>
      <c r="C59" s="71">
        <v>2.1588627667893656E-4</v>
      </c>
      <c r="D59" s="69">
        <v>57</v>
      </c>
      <c r="E59" s="70">
        <v>3.25</v>
      </c>
      <c r="F59" s="70">
        <v>0.22869595393487105</v>
      </c>
      <c r="G59" s="70">
        <v>5.4657722556647421</v>
      </c>
      <c r="H59" s="70">
        <v>4.6229067704237998</v>
      </c>
      <c r="I59" s="72">
        <v>28.5</v>
      </c>
      <c r="J59" s="70">
        <v>0.85</v>
      </c>
    </row>
    <row r="60" spans="1:10" x14ac:dyDescent="0.3">
      <c r="A60" s="69">
        <v>58</v>
      </c>
      <c r="B60" s="70">
        <v>3.375</v>
      </c>
      <c r="C60" s="71">
        <v>2.1588627667893656E-4</v>
      </c>
      <c r="D60" s="69">
        <v>58</v>
      </c>
      <c r="E60" s="70">
        <v>3.5</v>
      </c>
      <c r="F60" s="70">
        <v>0.24628795039139958</v>
      </c>
      <c r="G60" s="70">
        <v>4.0602879613509515</v>
      </c>
      <c r="H60" s="70">
        <v>3.5702395211846643</v>
      </c>
      <c r="I60" s="72">
        <v>29</v>
      </c>
      <c r="J60" s="70">
        <v>0.85</v>
      </c>
    </row>
    <row r="61" spans="1:10" x14ac:dyDescent="0.3">
      <c r="A61" s="69">
        <v>59</v>
      </c>
      <c r="B61" s="70">
        <v>3.625</v>
      </c>
      <c r="C61" s="71">
        <v>2.1588627667893656E-4</v>
      </c>
      <c r="D61" s="69">
        <v>59</v>
      </c>
      <c r="E61" s="70">
        <v>3.75</v>
      </c>
      <c r="F61" s="70">
        <v>0.26387994684792815</v>
      </c>
      <c r="G61" s="70">
        <v>2.8422015729456653</v>
      </c>
      <c r="H61" s="70">
        <v>2.590170013272366</v>
      </c>
      <c r="I61" s="72">
        <v>29.5</v>
      </c>
      <c r="J61" s="70">
        <v>0.85</v>
      </c>
    </row>
    <row r="62" spans="1:10" x14ac:dyDescent="0.3">
      <c r="A62" s="69">
        <v>60</v>
      </c>
      <c r="B62" s="70">
        <v>3.875</v>
      </c>
      <c r="C62" s="71">
        <v>2.1588627667893656E-4</v>
      </c>
      <c r="D62" s="69">
        <v>60</v>
      </c>
      <c r="E62" s="70">
        <v>4</v>
      </c>
      <c r="F62" s="70">
        <v>0.28147194330445668</v>
      </c>
      <c r="G62" s="70">
        <v>1.7763759830910411</v>
      </c>
      <c r="H62" s="70">
        <v>1.6733307961931192</v>
      </c>
      <c r="I62" s="72">
        <v>30</v>
      </c>
      <c r="J62" s="70">
        <v>0.85</v>
      </c>
    </row>
    <row r="63" spans="1:10" x14ac:dyDescent="0.3">
      <c r="A63" s="69">
        <v>61</v>
      </c>
      <c r="B63" s="70">
        <v>4.125</v>
      </c>
      <c r="C63" s="71">
        <v>2.1588627667893656E-4</v>
      </c>
      <c r="D63" s="69">
        <v>61</v>
      </c>
      <c r="E63" s="70">
        <v>4.25</v>
      </c>
      <c r="F63" s="70">
        <v>0.29906393976098522</v>
      </c>
      <c r="G63" s="70">
        <v>0.83594163910166641</v>
      </c>
      <c r="H63" s="70">
        <v>0.81205759227019025</v>
      </c>
      <c r="I63" s="72">
        <v>30.5</v>
      </c>
      <c r="J63" s="70">
        <v>0.85</v>
      </c>
    </row>
    <row r="64" spans="1:10" x14ac:dyDescent="0.3">
      <c r="A64" s="69">
        <v>62</v>
      </c>
      <c r="B64" s="70">
        <v>4.375</v>
      </c>
      <c r="C64" s="71">
        <v>2.1588627667893656E-4</v>
      </c>
      <c r="D64" s="69">
        <v>62</v>
      </c>
      <c r="E64" s="70">
        <v>4.5</v>
      </c>
      <c r="F64" s="70">
        <v>0.31665593621751376</v>
      </c>
      <c r="I64" s="72">
        <v>31</v>
      </c>
      <c r="J64" s="70">
        <v>0.85</v>
      </c>
    </row>
    <row r="65" spans="1:10" x14ac:dyDescent="0.3">
      <c r="A65" s="69">
        <v>63</v>
      </c>
      <c r="B65" s="70">
        <v>4.625</v>
      </c>
      <c r="C65" s="71">
        <v>2.1588627667893656E-4</v>
      </c>
      <c r="D65" s="69">
        <v>63</v>
      </c>
      <c r="E65" s="70">
        <v>10</v>
      </c>
      <c r="F65" s="70">
        <v>0</v>
      </c>
      <c r="H65" s="70">
        <v>68.980378767521842</v>
      </c>
      <c r="I65" s="72">
        <v>31.5</v>
      </c>
      <c r="J65" s="70">
        <v>0.9</v>
      </c>
    </row>
    <row r="66" spans="1:10" x14ac:dyDescent="0.3">
      <c r="A66" s="69">
        <v>64</v>
      </c>
      <c r="B66" s="70">
        <v>4.875</v>
      </c>
      <c r="C66" s="71">
        <v>2.1588627667893656E-4</v>
      </c>
      <c r="D66" s="69">
        <v>64</v>
      </c>
      <c r="E66" s="70">
        <v>9.75</v>
      </c>
      <c r="F66" s="70">
        <v>1.7591996456528546E-2</v>
      </c>
      <c r="G66" s="70">
        <v>241.58713370038154</v>
      </c>
      <c r="H66" s="70">
        <v>40.558363038065195</v>
      </c>
      <c r="I66" s="72">
        <v>32</v>
      </c>
      <c r="J66" s="70">
        <v>0.9</v>
      </c>
    </row>
    <row r="67" spans="1:10" x14ac:dyDescent="0.3">
      <c r="A67" s="69">
        <v>65</v>
      </c>
      <c r="B67" s="70">
        <v>5.125</v>
      </c>
      <c r="C67" s="71">
        <v>2.1588627667893656E-4</v>
      </c>
      <c r="D67" s="69">
        <v>65</v>
      </c>
      <c r="E67" s="70">
        <v>9.5</v>
      </c>
      <c r="F67" s="70">
        <v>3.5183992913057092E-2</v>
      </c>
      <c r="G67" s="70">
        <v>113.6880629178266</v>
      </c>
      <c r="H67" s="70">
        <v>31.084357794912975</v>
      </c>
      <c r="I67" s="72">
        <v>32.5</v>
      </c>
      <c r="J67" s="70">
        <v>0.9</v>
      </c>
    </row>
    <row r="68" spans="1:10" x14ac:dyDescent="0.3">
      <c r="A68" s="69">
        <v>66</v>
      </c>
      <c r="B68" s="70">
        <v>5.375</v>
      </c>
      <c r="C68" s="71">
        <v>2.1588627667893656E-4</v>
      </c>
      <c r="D68" s="69">
        <v>66</v>
      </c>
      <c r="E68" s="70">
        <v>9.25</v>
      </c>
      <c r="F68" s="70">
        <v>5.2775989369585635E-2</v>
      </c>
      <c r="G68" s="70">
        <v>71.055039323641637</v>
      </c>
      <c r="H68" s="70">
        <v>25.399954649021645</v>
      </c>
      <c r="I68" s="72">
        <v>33</v>
      </c>
      <c r="J68" s="70">
        <v>0.9</v>
      </c>
    </row>
    <row r="69" spans="1:10" x14ac:dyDescent="0.3">
      <c r="A69" s="69">
        <v>67</v>
      </c>
      <c r="B69" s="70">
        <v>5.625</v>
      </c>
      <c r="C69" s="71">
        <v>2.1588627667893656E-4</v>
      </c>
      <c r="D69" s="69">
        <v>67</v>
      </c>
      <c r="E69" s="70">
        <v>9</v>
      </c>
      <c r="F69" s="70">
        <v>7.0367985826114185E-2</v>
      </c>
      <c r="G69" s="70">
        <v>49.738527526549142</v>
      </c>
      <c r="H69" s="70">
        <v>21.339666687670693</v>
      </c>
      <c r="I69" s="72">
        <v>33.5</v>
      </c>
      <c r="J69" s="70">
        <v>0.9</v>
      </c>
    </row>
    <row r="70" spans="1:10" x14ac:dyDescent="0.3">
      <c r="A70" s="69">
        <v>68</v>
      </c>
      <c r="B70" s="70">
        <v>5.875</v>
      </c>
      <c r="C70" s="71">
        <v>2.1588627667893656E-4</v>
      </c>
      <c r="D70" s="69">
        <v>68</v>
      </c>
      <c r="E70" s="70">
        <v>8.75</v>
      </c>
      <c r="F70" s="70">
        <v>8.7959982282642735E-2</v>
      </c>
      <c r="G70" s="70">
        <v>36.948620448293646</v>
      </c>
      <c r="H70" s="70">
        <v>18.181664939953286</v>
      </c>
      <c r="I70" s="72">
        <v>34</v>
      </c>
      <c r="J70" s="70">
        <v>0.9</v>
      </c>
    </row>
    <row r="71" spans="1:10" x14ac:dyDescent="0.3">
      <c r="A71" s="69">
        <v>69</v>
      </c>
      <c r="B71" s="70">
        <v>6.125</v>
      </c>
      <c r="C71" s="71">
        <v>2.1588627667893656E-4</v>
      </c>
      <c r="D71" s="69">
        <v>69</v>
      </c>
      <c r="E71" s="70">
        <v>8.5</v>
      </c>
      <c r="F71" s="70">
        <v>0.10555197873917128</v>
      </c>
      <c r="G71" s="70">
        <v>28.42201572945665</v>
      </c>
      <c r="H71" s="70">
        <v>15.597845328184501</v>
      </c>
      <c r="I71" s="72">
        <v>34.5</v>
      </c>
      <c r="J71" s="70">
        <v>0.9</v>
      </c>
    </row>
    <row r="72" spans="1:10" x14ac:dyDescent="0.3">
      <c r="A72" s="69">
        <v>70</v>
      </c>
      <c r="B72" s="70">
        <v>6.375</v>
      </c>
      <c r="C72" s="71">
        <v>2.1588627667893656E-4</v>
      </c>
      <c r="D72" s="69">
        <v>70</v>
      </c>
      <c r="E72" s="70">
        <v>8.25</v>
      </c>
      <c r="F72" s="70">
        <v>0.12314397519569983</v>
      </c>
      <c r="G72" s="70">
        <v>22.331583787430223</v>
      </c>
      <c r="H72" s="70">
        <v>13.411536425918605</v>
      </c>
      <c r="I72" s="72">
        <v>35</v>
      </c>
      <c r="J72" s="70">
        <v>0.9</v>
      </c>
    </row>
    <row r="73" spans="1:10" x14ac:dyDescent="0.3">
      <c r="A73" s="69">
        <v>71</v>
      </c>
      <c r="B73" s="70">
        <v>6.625</v>
      </c>
      <c r="C73" s="71">
        <v>2.1588627667893656E-4</v>
      </c>
      <c r="D73" s="69">
        <v>71</v>
      </c>
      <c r="E73" s="70">
        <v>8</v>
      </c>
      <c r="F73" s="70">
        <v>0.14073597165222837</v>
      </c>
      <c r="G73" s="70">
        <v>17.763759830910406</v>
      </c>
      <c r="H73" s="70">
        <v>11.516735377288162</v>
      </c>
      <c r="I73" s="72">
        <v>35.5</v>
      </c>
      <c r="J73" s="70">
        <v>0.9</v>
      </c>
    </row>
    <row r="74" spans="1:10" x14ac:dyDescent="0.3">
      <c r="A74" s="69">
        <v>72</v>
      </c>
      <c r="B74" s="70">
        <v>6.875</v>
      </c>
      <c r="C74" s="71">
        <v>2.1588627667893656E-4</v>
      </c>
      <c r="D74" s="69">
        <v>72</v>
      </c>
      <c r="E74" s="70">
        <v>7.75</v>
      </c>
      <c r="F74" s="70">
        <v>0.15832796810875691</v>
      </c>
      <c r="G74" s="70">
        <v>14.211007864728327</v>
      </c>
      <c r="H74" s="70">
        <v>9.8448520990848305</v>
      </c>
      <c r="I74" s="72">
        <v>36</v>
      </c>
      <c r="J74" s="70">
        <v>0.9</v>
      </c>
    </row>
    <row r="75" spans="1:10" x14ac:dyDescent="0.3">
      <c r="A75" s="69">
        <v>73</v>
      </c>
      <c r="B75" s="70">
        <v>7.125</v>
      </c>
      <c r="C75" s="71">
        <v>2.1588627667893656E-4</v>
      </c>
      <c r="D75" s="69">
        <v>73</v>
      </c>
      <c r="E75" s="70">
        <v>7.5</v>
      </c>
      <c r="F75" s="70">
        <v>0.17591996456528544</v>
      </c>
      <c r="G75" s="70">
        <v>11.368806291782661</v>
      </c>
      <c r="H75" s="70">
        <v>8.348956534376585</v>
      </c>
      <c r="I75" s="72">
        <v>36.5</v>
      </c>
      <c r="J75" s="70">
        <v>0.9</v>
      </c>
    </row>
    <row r="76" spans="1:10" x14ac:dyDescent="0.3">
      <c r="A76" s="69">
        <v>74</v>
      </c>
      <c r="B76" s="70">
        <v>7.375</v>
      </c>
      <c r="C76" s="71">
        <v>2.1588627667893656E-4</v>
      </c>
      <c r="D76" s="69">
        <v>74</v>
      </c>
      <c r="E76" s="70">
        <v>7.25</v>
      </c>
      <c r="F76" s="70">
        <v>0.19351196102181398</v>
      </c>
      <c r="G76" s="70">
        <v>9.043368641190753</v>
      </c>
      <c r="H76" s="70">
        <v>6.9955272139262688</v>
      </c>
      <c r="I76" s="72">
        <v>37</v>
      </c>
      <c r="J76" s="70">
        <v>0.9</v>
      </c>
    </row>
    <row r="77" spans="1:10" x14ac:dyDescent="0.3">
      <c r="A77" s="69">
        <v>75</v>
      </c>
      <c r="B77" s="70">
        <v>7.625</v>
      </c>
      <c r="C77" s="71">
        <v>2.1588627667893656E-4</v>
      </c>
      <c r="D77" s="69">
        <v>75</v>
      </c>
      <c r="E77" s="70">
        <v>7</v>
      </c>
      <c r="F77" s="70">
        <v>0.21110395747834251</v>
      </c>
      <c r="G77" s="70">
        <v>7.1055039323641642</v>
      </c>
      <c r="H77" s="70">
        <v>5.7597873996020663</v>
      </c>
      <c r="I77" s="72">
        <v>37.5</v>
      </c>
      <c r="J77" s="70">
        <v>0.9</v>
      </c>
    </row>
    <row r="78" spans="1:10" x14ac:dyDescent="0.3">
      <c r="A78" s="69">
        <v>76</v>
      </c>
      <c r="B78" s="70">
        <v>7.875</v>
      </c>
      <c r="C78" s="71">
        <v>2.1588627667893656E-4</v>
      </c>
      <c r="D78" s="69">
        <v>76</v>
      </c>
      <c r="E78" s="70">
        <v>6.75</v>
      </c>
      <c r="F78" s="70">
        <v>0.22869595393487105</v>
      </c>
      <c r="G78" s="70">
        <v>5.4657722556647421</v>
      </c>
      <c r="H78" s="70">
        <v>4.6229067704237998</v>
      </c>
      <c r="I78" s="72">
        <v>38</v>
      </c>
      <c r="J78" s="70">
        <v>0.9</v>
      </c>
    </row>
    <row r="79" spans="1:10" x14ac:dyDescent="0.3">
      <c r="A79" s="69">
        <v>77</v>
      </c>
      <c r="B79" s="70">
        <v>8.125</v>
      </c>
      <c r="C79" s="71">
        <v>2.1588627667893656E-4</v>
      </c>
      <c r="D79" s="69">
        <v>77</v>
      </c>
      <c r="E79" s="70">
        <v>6.5</v>
      </c>
      <c r="F79" s="70">
        <v>0.24628795039139958</v>
      </c>
      <c r="G79" s="70">
        <v>4.0602879613509515</v>
      </c>
      <c r="H79" s="70">
        <v>3.5702395211846643</v>
      </c>
      <c r="I79" s="72">
        <v>38.5</v>
      </c>
      <c r="J79" s="70">
        <v>0.9</v>
      </c>
    </row>
    <row r="80" spans="1:10" x14ac:dyDescent="0.3">
      <c r="A80" s="69">
        <v>78</v>
      </c>
      <c r="B80" s="70">
        <v>8.375</v>
      </c>
      <c r="C80" s="71">
        <v>2.1588627667893656E-4</v>
      </c>
      <c r="D80" s="69">
        <v>78</v>
      </c>
      <c r="E80" s="70">
        <v>6.25</v>
      </c>
      <c r="F80" s="70">
        <v>0.26387994684792815</v>
      </c>
      <c r="G80" s="70">
        <v>2.8422015729456653</v>
      </c>
      <c r="H80" s="70">
        <v>2.590170013272366</v>
      </c>
      <c r="I80" s="72">
        <v>39</v>
      </c>
      <c r="J80" s="70">
        <v>0.9</v>
      </c>
    </row>
    <row r="81" spans="1:10" x14ac:dyDescent="0.3">
      <c r="A81" s="69">
        <v>79</v>
      </c>
      <c r="B81" s="70">
        <v>8.625</v>
      </c>
      <c r="C81" s="71">
        <v>2.1588627667893656E-4</v>
      </c>
      <c r="D81" s="69">
        <v>79</v>
      </c>
      <c r="E81" s="70">
        <v>6</v>
      </c>
      <c r="F81" s="70">
        <v>0.28147194330445668</v>
      </c>
      <c r="G81" s="70">
        <v>1.7763759830910411</v>
      </c>
      <c r="H81" s="70">
        <v>1.6733307961931192</v>
      </c>
      <c r="I81" s="72">
        <v>39.5</v>
      </c>
      <c r="J81" s="70">
        <v>0.9</v>
      </c>
    </row>
    <row r="82" spans="1:10" x14ac:dyDescent="0.3">
      <c r="A82" s="69">
        <v>80</v>
      </c>
      <c r="B82" s="70">
        <v>8.875</v>
      </c>
      <c r="C82" s="71">
        <v>2.1588627667893656E-4</v>
      </c>
      <c r="D82" s="69">
        <v>80</v>
      </c>
      <c r="E82" s="70">
        <v>5.75</v>
      </c>
      <c r="F82" s="70">
        <v>0.29906393976098522</v>
      </c>
      <c r="G82" s="70">
        <v>0.83594163910166641</v>
      </c>
      <c r="H82" s="70">
        <v>0.81205759227019025</v>
      </c>
      <c r="I82" s="72">
        <v>40</v>
      </c>
      <c r="J82" s="70">
        <v>0.9</v>
      </c>
    </row>
    <row r="83" spans="1:10" x14ac:dyDescent="0.3">
      <c r="A83" s="69">
        <v>81</v>
      </c>
      <c r="B83" s="70">
        <v>9.125</v>
      </c>
      <c r="C83" s="71">
        <v>2.1588627667893656E-4</v>
      </c>
      <c r="D83" s="69">
        <v>81</v>
      </c>
      <c r="E83" s="70">
        <v>5.5</v>
      </c>
      <c r="F83" s="70">
        <v>0.31665593621751376</v>
      </c>
      <c r="I83" s="72">
        <v>40.5</v>
      </c>
      <c r="J83" s="70">
        <v>0.9</v>
      </c>
    </row>
    <row r="84" spans="1:10" x14ac:dyDescent="0.3">
      <c r="A84" s="69">
        <v>82</v>
      </c>
      <c r="B84" s="70">
        <v>9.375</v>
      </c>
      <c r="C84" s="71">
        <v>2.1588627667893656E-4</v>
      </c>
      <c r="I84" s="72">
        <v>41</v>
      </c>
      <c r="J84" s="70">
        <v>0.95</v>
      </c>
    </row>
    <row r="85" spans="1:10" x14ac:dyDescent="0.3">
      <c r="A85" s="69">
        <v>83</v>
      </c>
      <c r="B85" s="70">
        <v>9.625</v>
      </c>
      <c r="C85" s="71">
        <v>2.1588627667893656E-4</v>
      </c>
      <c r="I85" s="72">
        <v>41.5</v>
      </c>
      <c r="J85" s="70">
        <v>0.95</v>
      </c>
    </row>
    <row r="86" spans="1:10" x14ac:dyDescent="0.3">
      <c r="A86" s="69">
        <v>84</v>
      </c>
      <c r="B86" s="70">
        <v>9.875</v>
      </c>
      <c r="C86" s="71">
        <v>2.1588627667893656E-4</v>
      </c>
      <c r="I86" s="72">
        <v>42</v>
      </c>
      <c r="J86" s="70">
        <v>0.95</v>
      </c>
    </row>
    <row r="87" spans="1:10" x14ac:dyDescent="0.3">
      <c r="A87" s="69">
        <v>85</v>
      </c>
      <c r="B87" s="70">
        <v>10</v>
      </c>
      <c r="C87" s="71">
        <v>0</v>
      </c>
      <c r="I87" s="72">
        <v>42.5</v>
      </c>
      <c r="J87" s="70">
        <v>0.95</v>
      </c>
    </row>
    <row r="88" spans="1:10" x14ac:dyDescent="0.3">
      <c r="I88" s="72">
        <v>43</v>
      </c>
      <c r="J88" s="70">
        <v>0.95</v>
      </c>
    </row>
    <row r="89" spans="1:10" x14ac:dyDescent="0.3">
      <c r="I89" s="72">
        <v>43.5</v>
      </c>
      <c r="J89" s="70">
        <v>0.95</v>
      </c>
    </row>
    <row r="90" spans="1:10" x14ac:dyDescent="0.3">
      <c r="I90" s="72">
        <v>44</v>
      </c>
      <c r="J90" s="70">
        <v>0.95</v>
      </c>
    </row>
    <row r="91" spans="1:10" x14ac:dyDescent="0.3">
      <c r="I91" s="72">
        <v>44.5</v>
      </c>
      <c r="J91" s="70">
        <v>0.95</v>
      </c>
    </row>
    <row r="92" spans="1:10" x14ac:dyDescent="0.3">
      <c r="I92" s="72">
        <v>45</v>
      </c>
      <c r="J92" s="70">
        <v>0.95</v>
      </c>
    </row>
    <row r="93" spans="1:10" x14ac:dyDescent="0.3">
      <c r="I93" s="72">
        <v>45.5</v>
      </c>
      <c r="J93" s="70">
        <v>0.95</v>
      </c>
    </row>
    <row r="94" spans="1:10" x14ac:dyDescent="0.3">
      <c r="I94" s="72">
        <v>46</v>
      </c>
      <c r="J94" s="70">
        <v>0.95</v>
      </c>
    </row>
    <row r="95" spans="1:10" x14ac:dyDescent="0.3">
      <c r="I95" s="72">
        <v>46.5</v>
      </c>
      <c r="J95" s="70">
        <v>0.95</v>
      </c>
    </row>
    <row r="96" spans="1:10" x14ac:dyDescent="0.3">
      <c r="I96" s="72">
        <v>47</v>
      </c>
      <c r="J96" s="70">
        <v>0.95</v>
      </c>
    </row>
    <row r="97" spans="9:10" x14ac:dyDescent="0.3">
      <c r="I97" s="72">
        <v>47.5</v>
      </c>
      <c r="J97" s="70">
        <v>0.95</v>
      </c>
    </row>
    <row r="98" spans="9:10" x14ac:dyDescent="0.3">
      <c r="I98" s="72">
        <v>48</v>
      </c>
      <c r="J98" s="70">
        <v>0.95</v>
      </c>
    </row>
    <row r="99" spans="9:10" x14ac:dyDescent="0.3">
      <c r="I99" s="72">
        <v>48.5</v>
      </c>
      <c r="J99" s="70">
        <v>0.95</v>
      </c>
    </row>
    <row r="100" spans="9:10" x14ac:dyDescent="0.3">
      <c r="I100" s="72">
        <v>49</v>
      </c>
      <c r="J100" s="70">
        <v>0.95</v>
      </c>
    </row>
    <row r="101" spans="9:10" x14ac:dyDescent="0.3">
      <c r="I101" s="72">
        <v>49.5</v>
      </c>
      <c r="J101" s="70">
        <v>0.95</v>
      </c>
    </row>
    <row r="102" spans="9:10" x14ac:dyDescent="0.3">
      <c r="I102" s="72">
        <v>50</v>
      </c>
      <c r="J102" s="70">
        <v>0.95</v>
      </c>
    </row>
    <row r="103" spans="9:10" x14ac:dyDescent="0.3">
      <c r="I103" s="72">
        <v>50.5</v>
      </c>
      <c r="J103" s="70">
        <v>0.95</v>
      </c>
    </row>
    <row r="104" spans="9:10" x14ac:dyDescent="0.3">
      <c r="I104" s="72">
        <v>51</v>
      </c>
      <c r="J104" s="70">
        <v>0.95</v>
      </c>
    </row>
    <row r="105" spans="9:10" x14ac:dyDescent="0.3">
      <c r="I105" s="72">
        <v>51.5</v>
      </c>
      <c r="J105" s="70">
        <v>0.95</v>
      </c>
    </row>
    <row r="106" spans="9:10" x14ac:dyDescent="0.3">
      <c r="I106" s="72">
        <v>52</v>
      </c>
      <c r="J106" s="70">
        <v>0.95</v>
      </c>
    </row>
    <row r="107" spans="9:10" x14ac:dyDescent="0.3">
      <c r="I107" s="72">
        <v>52.5</v>
      </c>
      <c r="J107" s="70">
        <v>0.95</v>
      </c>
    </row>
    <row r="108" spans="9:10" x14ac:dyDescent="0.3">
      <c r="I108" s="72">
        <v>53</v>
      </c>
      <c r="J108" s="70">
        <v>0.95</v>
      </c>
    </row>
    <row r="109" spans="9:10" x14ac:dyDescent="0.3">
      <c r="I109" s="72">
        <v>53.5</v>
      </c>
      <c r="J109" s="70">
        <v>0.95</v>
      </c>
    </row>
    <row r="110" spans="9:10" x14ac:dyDescent="0.3">
      <c r="I110" s="72">
        <v>54</v>
      </c>
      <c r="J110" s="70">
        <v>0.95</v>
      </c>
    </row>
    <row r="111" spans="9:10" x14ac:dyDescent="0.3">
      <c r="I111" s="72">
        <v>54.5</v>
      </c>
      <c r="J111" s="70">
        <v>0.95</v>
      </c>
    </row>
    <row r="112" spans="9:10" x14ac:dyDescent="0.3">
      <c r="I112" s="72">
        <v>55</v>
      </c>
      <c r="J112" s="70">
        <v>0.95</v>
      </c>
    </row>
    <row r="113" spans="9:10" x14ac:dyDescent="0.3">
      <c r="I113" s="72">
        <v>55.5</v>
      </c>
      <c r="J113" s="70">
        <v>0.95</v>
      </c>
    </row>
    <row r="114" spans="9:10" x14ac:dyDescent="0.3">
      <c r="I114" s="72">
        <v>56</v>
      </c>
      <c r="J114" s="70">
        <v>0.95</v>
      </c>
    </row>
    <row r="115" spans="9:10" x14ac:dyDescent="0.3">
      <c r="I115" s="72">
        <v>56.5</v>
      </c>
      <c r="J115" s="70">
        <v>0.95</v>
      </c>
    </row>
    <row r="116" spans="9:10" x14ac:dyDescent="0.3">
      <c r="I116" s="72">
        <v>57</v>
      </c>
      <c r="J116" s="70">
        <v>0.95</v>
      </c>
    </row>
    <row r="117" spans="9:10" x14ac:dyDescent="0.3">
      <c r="I117" s="72">
        <v>57.5</v>
      </c>
      <c r="J117" s="70">
        <v>0.95</v>
      </c>
    </row>
    <row r="118" spans="9:10" x14ac:dyDescent="0.3">
      <c r="I118" s="72">
        <v>58</v>
      </c>
      <c r="J118" s="70">
        <v>0.95</v>
      </c>
    </row>
    <row r="119" spans="9:10" x14ac:dyDescent="0.3">
      <c r="I119" s="72">
        <v>58.5</v>
      </c>
      <c r="J119" s="70">
        <v>0.95</v>
      </c>
    </row>
    <row r="120" spans="9:10" x14ac:dyDescent="0.3">
      <c r="I120" s="72">
        <v>59</v>
      </c>
      <c r="J120" s="70">
        <v>0.95</v>
      </c>
    </row>
    <row r="121" spans="9:10" x14ac:dyDescent="0.3">
      <c r="I121" s="72">
        <v>59.5</v>
      </c>
      <c r="J121" s="70">
        <v>0.95</v>
      </c>
    </row>
    <row r="122" spans="9:10" x14ac:dyDescent="0.3">
      <c r="I122" s="72">
        <v>60</v>
      </c>
      <c r="J122" s="70">
        <v>0.95</v>
      </c>
    </row>
    <row r="123" spans="9:10" x14ac:dyDescent="0.3">
      <c r="I123" s="72">
        <v>60.5</v>
      </c>
      <c r="J123" s="70">
        <v>0.95</v>
      </c>
    </row>
    <row r="124" spans="9:10" x14ac:dyDescent="0.3">
      <c r="I124" s="72">
        <v>61</v>
      </c>
      <c r="J124" s="70">
        <v>0.95</v>
      </c>
    </row>
    <row r="125" spans="9:10" x14ac:dyDescent="0.3">
      <c r="I125" s="72">
        <v>61.5</v>
      </c>
      <c r="J125" s="70">
        <v>0.95</v>
      </c>
    </row>
    <row r="126" spans="9:10" x14ac:dyDescent="0.3">
      <c r="I126" s="72">
        <v>62</v>
      </c>
      <c r="J126" s="70">
        <v>0.95</v>
      </c>
    </row>
    <row r="127" spans="9:10" x14ac:dyDescent="0.3">
      <c r="I127" s="72">
        <v>62.5</v>
      </c>
      <c r="J127" s="70">
        <v>0.95</v>
      </c>
    </row>
    <row r="128" spans="9:10" x14ac:dyDescent="0.3">
      <c r="I128" s="72">
        <v>63</v>
      </c>
      <c r="J128" s="70">
        <v>0.95</v>
      </c>
    </row>
    <row r="129" spans="9:10" x14ac:dyDescent="0.3">
      <c r="I129" s="72">
        <v>63.5</v>
      </c>
      <c r="J129" s="70">
        <v>0.95</v>
      </c>
    </row>
    <row r="130" spans="9:10" x14ac:dyDescent="0.3">
      <c r="I130" s="72">
        <v>64</v>
      </c>
      <c r="J130" s="70">
        <v>0.95</v>
      </c>
    </row>
    <row r="131" spans="9:10" x14ac:dyDescent="0.3">
      <c r="I131" s="72">
        <v>64.5</v>
      </c>
      <c r="J131" s="70">
        <v>0.95</v>
      </c>
    </row>
    <row r="132" spans="9:10" x14ac:dyDescent="0.3">
      <c r="I132" s="72">
        <v>65</v>
      </c>
      <c r="J132" s="70">
        <v>0.95</v>
      </c>
    </row>
    <row r="133" spans="9:10" x14ac:dyDescent="0.3">
      <c r="I133" s="72">
        <v>65.5</v>
      </c>
      <c r="J133" s="70">
        <v>0.95</v>
      </c>
    </row>
    <row r="134" spans="9:10" x14ac:dyDescent="0.3">
      <c r="I134" s="72">
        <v>66</v>
      </c>
      <c r="J134" s="70">
        <v>0.95</v>
      </c>
    </row>
    <row r="135" spans="9:10" x14ac:dyDescent="0.3">
      <c r="I135" s="72">
        <v>66.5</v>
      </c>
      <c r="J135" s="70">
        <v>0.95</v>
      </c>
    </row>
    <row r="136" spans="9:10" x14ac:dyDescent="0.3">
      <c r="I136" s="72">
        <v>67</v>
      </c>
      <c r="J136" s="70">
        <v>0.95</v>
      </c>
    </row>
    <row r="137" spans="9:10" x14ac:dyDescent="0.3">
      <c r="I137" s="72">
        <v>67.5</v>
      </c>
      <c r="J137" s="70">
        <v>0.95</v>
      </c>
    </row>
    <row r="138" spans="9:10" x14ac:dyDescent="0.3">
      <c r="I138" s="72">
        <v>68</v>
      </c>
      <c r="J138" s="70">
        <v>0.95</v>
      </c>
    </row>
    <row r="139" spans="9:10" x14ac:dyDescent="0.3">
      <c r="I139" s="72">
        <v>68.5</v>
      </c>
      <c r="J139" s="70">
        <v>0.95</v>
      </c>
    </row>
    <row r="140" spans="9:10" x14ac:dyDescent="0.3">
      <c r="I140" s="72">
        <v>69</v>
      </c>
      <c r="J140" s="70">
        <v>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J8379"/>
  <sheetViews>
    <sheetView zoomScale="80" zoomScaleNormal="80" workbookViewId="0">
      <selection activeCell="D12" sqref="D12"/>
    </sheetView>
  </sheetViews>
  <sheetFormatPr defaultRowHeight="14.4" x14ac:dyDescent="0.3"/>
  <cols>
    <col min="1" max="1" width="12.44140625" style="69" customWidth="1"/>
    <col min="2" max="2" width="14.6640625" style="70" customWidth="1"/>
    <col min="3" max="3" width="10.33203125" style="71" customWidth="1"/>
    <col min="4" max="4" width="12.44140625" style="69" customWidth="1"/>
    <col min="5" max="5" width="17.6640625" style="70" customWidth="1"/>
    <col min="6" max="6" width="14" style="70" customWidth="1"/>
    <col min="7" max="7" width="11.33203125" style="70" customWidth="1"/>
    <col min="8" max="8" width="16.5546875" style="70" customWidth="1"/>
    <col min="9" max="9" width="10.33203125" style="72" customWidth="1"/>
    <col min="10" max="10" width="13.6640625" style="70" customWidth="1"/>
  </cols>
  <sheetData>
    <row r="1" spans="1:10" x14ac:dyDescent="0.3">
      <c r="A1" s="69" t="s">
        <v>71</v>
      </c>
      <c r="B1" s="73" t="s">
        <v>76</v>
      </c>
      <c r="C1" s="71" t="s">
        <v>22</v>
      </c>
      <c r="D1" s="69" t="s">
        <v>71</v>
      </c>
      <c r="E1" s="70" t="s">
        <v>72</v>
      </c>
      <c r="F1" s="70" t="s">
        <v>73</v>
      </c>
      <c r="G1" s="70" t="s">
        <v>77</v>
      </c>
      <c r="H1" s="70" t="s">
        <v>78</v>
      </c>
      <c r="I1" s="73" t="s">
        <v>74</v>
      </c>
      <c r="J1" s="70" t="s">
        <v>75</v>
      </c>
    </row>
    <row r="2" spans="1:10" x14ac:dyDescent="0.3">
      <c r="A2" s="69">
        <v>0</v>
      </c>
      <c r="B2" s="70">
        <v>-11</v>
      </c>
      <c r="C2" s="71">
        <v>0</v>
      </c>
      <c r="D2" s="69">
        <v>0</v>
      </c>
      <c r="E2" s="70">
        <v>-11</v>
      </c>
      <c r="F2" s="70">
        <v>0</v>
      </c>
      <c r="I2" s="72">
        <v>0</v>
      </c>
      <c r="J2" s="70">
        <v>0</v>
      </c>
    </row>
    <row r="3" spans="1:10" x14ac:dyDescent="0.3">
      <c r="A3" s="69">
        <v>1</v>
      </c>
      <c r="B3" s="70">
        <v>-10.9</v>
      </c>
      <c r="C3" s="71">
        <v>0</v>
      </c>
      <c r="D3" s="69">
        <v>1</v>
      </c>
      <c r="E3" s="70">
        <v>-10.8</v>
      </c>
      <c r="F3" s="70">
        <v>0</v>
      </c>
      <c r="I3" s="72">
        <v>0.5</v>
      </c>
      <c r="J3" s="70">
        <v>0</v>
      </c>
    </row>
    <row r="4" spans="1:10" x14ac:dyDescent="0.3">
      <c r="A4" s="69">
        <v>2</v>
      </c>
      <c r="B4" s="70">
        <v>-10.700000000000001</v>
      </c>
      <c r="C4" s="71">
        <v>0</v>
      </c>
      <c r="D4" s="69">
        <v>2</v>
      </c>
      <c r="E4" s="70">
        <v>-10.600000000000001</v>
      </c>
      <c r="F4" s="70">
        <v>0</v>
      </c>
      <c r="I4" s="72">
        <v>1</v>
      </c>
      <c r="J4" s="70">
        <v>0</v>
      </c>
    </row>
    <row r="5" spans="1:10" x14ac:dyDescent="0.3">
      <c r="A5" s="69">
        <v>3</v>
      </c>
      <c r="B5" s="70">
        <v>-10.500000000000002</v>
      </c>
      <c r="C5" s="71">
        <v>0</v>
      </c>
      <c r="D5" s="69">
        <v>3</v>
      </c>
      <c r="E5" s="70">
        <v>-10.600000000000001</v>
      </c>
      <c r="F5" s="70">
        <v>0</v>
      </c>
      <c r="I5" s="72">
        <v>1.5</v>
      </c>
      <c r="J5" s="70">
        <v>0</v>
      </c>
    </row>
    <row r="6" spans="1:10" x14ac:dyDescent="0.3">
      <c r="A6" s="69">
        <v>4</v>
      </c>
      <c r="B6" s="70">
        <v>-10.300000000000002</v>
      </c>
      <c r="C6" s="71">
        <v>0</v>
      </c>
      <c r="D6" s="69">
        <v>4</v>
      </c>
      <c r="E6" s="70">
        <v>-10.400000000000002</v>
      </c>
      <c r="F6" s="70">
        <v>0</v>
      </c>
      <c r="I6" s="72">
        <v>2</v>
      </c>
      <c r="J6" s="70">
        <v>0</v>
      </c>
    </row>
    <row r="7" spans="1:10" x14ac:dyDescent="0.3">
      <c r="A7" s="69">
        <v>5</v>
      </c>
      <c r="B7" s="70">
        <v>-10.100000000000003</v>
      </c>
      <c r="C7" s="71">
        <v>0</v>
      </c>
      <c r="D7" s="69">
        <v>5</v>
      </c>
      <c r="E7" s="70">
        <v>-10.200000000000003</v>
      </c>
      <c r="F7" s="70">
        <v>0</v>
      </c>
      <c r="I7" s="72">
        <v>2.5</v>
      </c>
      <c r="J7" s="70">
        <v>0</v>
      </c>
    </row>
    <row r="8" spans="1:10" x14ac:dyDescent="0.3">
      <c r="A8" s="69">
        <v>6</v>
      </c>
      <c r="B8" s="70">
        <v>-9.9000000000000039</v>
      </c>
      <c r="C8" s="71">
        <v>0</v>
      </c>
      <c r="D8" s="69">
        <v>6</v>
      </c>
      <c r="E8" s="70">
        <v>-10.000000000000004</v>
      </c>
      <c r="F8" s="70">
        <v>0</v>
      </c>
      <c r="I8" s="72">
        <v>3</v>
      </c>
      <c r="J8" s="70">
        <v>0</v>
      </c>
    </row>
    <row r="9" spans="1:10" x14ac:dyDescent="0.3">
      <c r="A9" s="69">
        <v>7</v>
      </c>
      <c r="B9" s="70">
        <v>-9.7000000000000046</v>
      </c>
      <c r="C9" s="71">
        <v>0</v>
      </c>
      <c r="D9" s="69">
        <v>7</v>
      </c>
      <c r="E9" s="70">
        <v>-9.8000000000000043</v>
      </c>
      <c r="F9" s="70">
        <v>0</v>
      </c>
      <c r="I9" s="72">
        <v>3.5</v>
      </c>
      <c r="J9" s="70">
        <v>0</v>
      </c>
    </row>
    <row r="10" spans="1:10" x14ac:dyDescent="0.3">
      <c r="A10" s="69">
        <v>8</v>
      </c>
      <c r="B10" s="70">
        <v>-9.5000000000000053</v>
      </c>
      <c r="C10" s="71">
        <v>0</v>
      </c>
      <c r="D10" s="69">
        <v>8</v>
      </c>
      <c r="E10" s="70">
        <v>-9.600000000000005</v>
      </c>
      <c r="F10" s="70">
        <v>0</v>
      </c>
      <c r="I10" s="72">
        <v>4</v>
      </c>
      <c r="J10" s="70">
        <v>0</v>
      </c>
    </row>
    <row r="11" spans="1:10" x14ac:dyDescent="0.3">
      <c r="A11" s="69">
        <v>9</v>
      </c>
      <c r="B11" s="70">
        <v>-9.300000000000006</v>
      </c>
      <c r="C11" s="71">
        <v>0</v>
      </c>
      <c r="D11" s="69">
        <v>9</v>
      </c>
      <c r="E11" s="70">
        <v>-9.4000000000000057</v>
      </c>
      <c r="F11" s="70">
        <v>0</v>
      </c>
      <c r="I11" s="72">
        <v>4.5</v>
      </c>
      <c r="J11" s="70">
        <v>0</v>
      </c>
    </row>
    <row r="12" spans="1:10" x14ac:dyDescent="0.3">
      <c r="A12" s="69">
        <v>10</v>
      </c>
      <c r="B12" s="70">
        <v>-9.1000000000000068</v>
      </c>
      <c r="C12" s="71">
        <v>0</v>
      </c>
      <c r="D12" s="69">
        <v>10</v>
      </c>
      <c r="E12" s="70">
        <v>-9.2000000000000064</v>
      </c>
      <c r="F12" s="70">
        <v>0</v>
      </c>
      <c r="I12" s="72">
        <v>5</v>
      </c>
      <c r="J12" s="70">
        <v>0.18382352941176452</v>
      </c>
    </row>
    <row r="13" spans="1:10" x14ac:dyDescent="0.3">
      <c r="A13" s="69">
        <v>11</v>
      </c>
      <c r="B13" s="70">
        <v>-8.9000000000000075</v>
      </c>
      <c r="C13" s="71">
        <v>0</v>
      </c>
      <c r="D13" s="69">
        <v>11</v>
      </c>
      <c r="E13" s="70">
        <v>-9.0000000000000071</v>
      </c>
      <c r="F13" s="70">
        <v>0</v>
      </c>
      <c r="I13" s="72">
        <v>5.5</v>
      </c>
      <c r="J13" s="70">
        <v>0.18382352941176452</v>
      </c>
    </row>
    <row r="14" spans="1:10" x14ac:dyDescent="0.3">
      <c r="A14" s="69">
        <v>12</v>
      </c>
      <c r="B14" s="70">
        <v>-8.7000000000000082</v>
      </c>
      <c r="C14" s="71">
        <v>0</v>
      </c>
      <c r="D14" s="69">
        <v>12</v>
      </c>
      <c r="E14" s="70">
        <v>-8.8000000000000078</v>
      </c>
      <c r="F14" s="70">
        <v>0</v>
      </c>
      <c r="I14" s="72">
        <v>6</v>
      </c>
      <c r="J14" s="70">
        <v>0.18382352941176452</v>
      </c>
    </row>
    <row r="15" spans="1:10" x14ac:dyDescent="0.3">
      <c r="A15" s="69">
        <v>13</v>
      </c>
      <c r="B15" s="70">
        <v>-8.5000000000000089</v>
      </c>
      <c r="C15" s="71">
        <v>0</v>
      </c>
      <c r="D15" s="69">
        <v>13</v>
      </c>
      <c r="E15" s="70">
        <v>-8.6000000000000085</v>
      </c>
      <c r="F15" s="70">
        <v>0</v>
      </c>
      <c r="I15" s="72">
        <v>6.5</v>
      </c>
      <c r="J15" s="70">
        <v>0.36764705882352905</v>
      </c>
    </row>
    <row r="16" spans="1:10" x14ac:dyDescent="0.3">
      <c r="A16" s="69">
        <v>14</v>
      </c>
      <c r="B16" s="70">
        <v>-8.3000000000000096</v>
      </c>
      <c r="C16" s="71">
        <v>0</v>
      </c>
      <c r="D16" s="69">
        <v>14</v>
      </c>
      <c r="E16" s="70">
        <v>-8.4000000000000092</v>
      </c>
      <c r="F16" s="70">
        <v>0</v>
      </c>
      <c r="I16" s="72">
        <v>7</v>
      </c>
      <c r="J16" s="70">
        <v>0.36764705882352905</v>
      </c>
    </row>
    <row r="17" spans="1:10" x14ac:dyDescent="0.3">
      <c r="A17" s="69">
        <v>15</v>
      </c>
      <c r="B17" s="70">
        <v>-8.1000000000000103</v>
      </c>
      <c r="C17" s="71">
        <v>0</v>
      </c>
      <c r="D17" s="69">
        <v>15</v>
      </c>
      <c r="E17" s="70">
        <v>-8.2000000000000099</v>
      </c>
      <c r="F17" s="70">
        <v>0</v>
      </c>
      <c r="I17" s="72">
        <v>7.5</v>
      </c>
      <c r="J17" s="70">
        <v>0.36764705882352905</v>
      </c>
    </row>
    <row r="18" spans="1:10" x14ac:dyDescent="0.3">
      <c r="A18" s="69">
        <v>16</v>
      </c>
      <c r="B18" s="70">
        <v>-7.9000000000000101</v>
      </c>
      <c r="C18" s="71">
        <v>0</v>
      </c>
      <c r="D18" s="69">
        <v>16</v>
      </c>
      <c r="E18" s="70">
        <v>-8.0000000000000107</v>
      </c>
      <c r="F18" s="70">
        <v>0</v>
      </c>
      <c r="I18" s="72">
        <v>8</v>
      </c>
      <c r="J18" s="70">
        <v>0.5514705882352936</v>
      </c>
    </row>
    <row r="19" spans="1:10" x14ac:dyDescent="0.3">
      <c r="A19" s="69">
        <v>17</v>
      </c>
      <c r="B19" s="70">
        <v>-7.7000000000000099</v>
      </c>
      <c r="C19" s="71">
        <v>0</v>
      </c>
      <c r="D19" s="69">
        <v>17</v>
      </c>
      <c r="E19" s="70">
        <v>-7.8000000000000105</v>
      </c>
      <c r="F19" s="70">
        <v>0</v>
      </c>
      <c r="I19" s="72">
        <v>8.5</v>
      </c>
      <c r="J19" s="70">
        <v>0.5514705882352936</v>
      </c>
    </row>
    <row r="20" spans="1:10" x14ac:dyDescent="0.3">
      <c r="A20" s="69">
        <v>18</v>
      </c>
      <c r="B20" s="70">
        <v>-7.5000000000000098</v>
      </c>
      <c r="C20" s="71">
        <v>0</v>
      </c>
      <c r="D20" s="69">
        <v>18</v>
      </c>
      <c r="E20" s="70">
        <v>-7.6000000000000103</v>
      </c>
      <c r="F20" s="70">
        <v>0</v>
      </c>
      <c r="I20" s="72">
        <v>9</v>
      </c>
      <c r="J20" s="70">
        <v>0.5514705882352936</v>
      </c>
    </row>
    <row r="21" spans="1:10" x14ac:dyDescent="0.3">
      <c r="A21" s="69">
        <v>19</v>
      </c>
      <c r="B21" s="70">
        <v>-7.3000000000000096</v>
      </c>
      <c r="C21" s="71">
        <v>0</v>
      </c>
      <c r="D21" s="69">
        <v>19</v>
      </c>
      <c r="E21" s="70">
        <v>-7.4000000000000101</v>
      </c>
      <c r="F21" s="70">
        <v>0</v>
      </c>
      <c r="I21" s="72">
        <v>9.5</v>
      </c>
      <c r="J21" s="70">
        <v>0.5514705882352936</v>
      </c>
    </row>
    <row r="22" spans="1:10" x14ac:dyDescent="0.3">
      <c r="A22" s="69">
        <v>20</v>
      </c>
      <c r="B22" s="70">
        <v>-7.1000000000000094</v>
      </c>
      <c r="C22" s="71">
        <v>0</v>
      </c>
      <c r="D22" s="69">
        <v>20</v>
      </c>
      <c r="E22" s="70">
        <v>-7.2000000000000099</v>
      </c>
      <c r="F22" s="70">
        <v>0</v>
      </c>
      <c r="I22" s="72">
        <v>10</v>
      </c>
      <c r="J22" s="70">
        <v>0.5514705882352936</v>
      </c>
    </row>
    <row r="23" spans="1:10" x14ac:dyDescent="0.3">
      <c r="A23" s="69">
        <v>21</v>
      </c>
      <c r="B23" s="70">
        <v>-6.9000000000000092</v>
      </c>
      <c r="C23" s="71">
        <v>0</v>
      </c>
      <c r="D23" s="69">
        <v>21</v>
      </c>
      <c r="E23" s="70">
        <v>-7.0000000000000098</v>
      </c>
      <c r="F23" s="70">
        <v>0</v>
      </c>
      <c r="I23" s="72">
        <v>10.5</v>
      </c>
      <c r="J23" s="70">
        <v>0.7352941176470581</v>
      </c>
    </row>
    <row r="24" spans="1:10" x14ac:dyDescent="0.3">
      <c r="A24" s="69">
        <v>22</v>
      </c>
      <c r="B24" s="70">
        <v>-6.7000000000000091</v>
      </c>
      <c r="C24" s="71">
        <v>0</v>
      </c>
      <c r="D24" s="69">
        <v>22</v>
      </c>
      <c r="E24" s="70">
        <v>-6.8000000000000096</v>
      </c>
      <c r="F24" s="70">
        <v>0</v>
      </c>
      <c r="I24" s="72">
        <v>11</v>
      </c>
      <c r="J24" s="70">
        <v>0.7352941176470581</v>
      </c>
    </row>
    <row r="25" spans="1:10" x14ac:dyDescent="0.3">
      <c r="A25" s="69">
        <v>23</v>
      </c>
      <c r="B25" s="70">
        <v>-6.5000000000000089</v>
      </c>
      <c r="C25" s="71">
        <v>0</v>
      </c>
      <c r="D25" s="69">
        <v>23</v>
      </c>
      <c r="E25" s="70">
        <v>-6.6000000000000094</v>
      </c>
      <c r="F25" s="70">
        <v>0</v>
      </c>
      <c r="I25" s="72">
        <v>11.5</v>
      </c>
      <c r="J25" s="70">
        <v>0.7352941176470581</v>
      </c>
    </row>
    <row r="26" spans="1:10" x14ac:dyDescent="0.3">
      <c r="A26" s="69">
        <v>24</v>
      </c>
      <c r="B26" s="70">
        <v>-6.3000000000000087</v>
      </c>
      <c r="C26" s="71">
        <v>0</v>
      </c>
      <c r="D26" s="69">
        <v>24</v>
      </c>
      <c r="E26" s="70">
        <v>-6.4000000000000092</v>
      </c>
      <c r="F26" s="70">
        <v>0</v>
      </c>
      <c r="I26" s="72">
        <v>12</v>
      </c>
      <c r="J26" s="70">
        <v>0.7352941176470581</v>
      </c>
    </row>
    <row r="27" spans="1:10" x14ac:dyDescent="0.3">
      <c r="A27" s="69">
        <v>25</v>
      </c>
      <c r="B27" s="70">
        <v>-6.1000000000000085</v>
      </c>
      <c r="C27" s="71">
        <v>0</v>
      </c>
      <c r="D27" s="69">
        <v>25</v>
      </c>
      <c r="E27" s="70">
        <v>-6.2000000000000091</v>
      </c>
      <c r="F27" s="70">
        <v>0</v>
      </c>
      <c r="I27" s="72">
        <v>12.5</v>
      </c>
      <c r="J27" s="70">
        <v>0.7352941176470581</v>
      </c>
    </row>
    <row r="28" spans="1:10" x14ac:dyDescent="0.3">
      <c r="A28" s="69">
        <v>26</v>
      </c>
      <c r="B28" s="70">
        <v>-5.9000000000000083</v>
      </c>
      <c r="C28" s="71">
        <v>0</v>
      </c>
      <c r="D28" s="69">
        <v>26</v>
      </c>
      <c r="E28" s="70">
        <v>-6.0000000000000089</v>
      </c>
      <c r="F28" s="70">
        <v>0</v>
      </c>
      <c r="I28" s="72">
        <v>13</v>
      </c>
      <c r="J28" s="70">
        <v>0.7352941176470581</v>
      </c>
    </row>
    <row r="29" spans="1:10" x14ac:dyDescent="0.3">
      <c r="A29" s="69">
        <v>27</v>
      </c>
      <c r="B29" s="70">
        <v>-5.7000000000000082</v>
      </c>
      <c r="C29" s="71">
        <v>0</v>
      </c>
      <c r="D29" s="69">
        <v>27</v>
      </c>
      <c r="E29" s="70">
        <v>-5.8000000000000087</v>
      </c>
      <c r="F29" s="70">
        <v>0</v>
      </c>
      <c r="I29" s="72">
        <v>13.5</v>
      </c>
      <c r="J29" s="70">
        <v>0.7352941176470581</v>
      </c>
    </row>
    <row r="30" spans="1:10" x14ac:dyDescent="0.3">
      <c r="A30" s="69">
        <v>28</v>
      </c>
      <c r="B30" s="70">
        <v>-5.500000000000008</v>
      </c>
      <c r="C30" s="71">
        <v>0</v>
      </c>
      <c r="D30" s="69">
        <v>28</v>
      </c>
      <c r="E30" s="70">
        <v>-5.6000000000000085</v>
      </c>
      <c r="F30" s="70">
        <v>0</v>
      </c>
      <c r="I30" s="72">
        <v>14</v>
      </c>
      <c r="J30" s="70">
        <v>0.7352941176470581</v>
      </c>
    </row>
    <row r="31" spans="1:10" x14ac:dyDescent="0.3">
      <c r="A31" s="69">
        <v>29</v>
      </c>
      <c r="B31" s="70">
        <v>-5.3000000000000078</v>
      </c>
      <c r="C31" s="71">
        <v>0</v>
      </c>
      <c r="D31" s="69">
        <v>29</v>
      </c>
      <c r="E31" s="70">
        <v>-5.4000000000000083</v>
      </c>
      <c r="F31" s="70">
        <v>0</v>
      </c>
      <c r="I31" s="72">
        <v>14.5</v>
      </c>
      <c r="J31" s="70">
        <v>0.91911764705882271</v>
      </c>
    </row>
    <row r="32" spans="1:10" x14ac:dyDescent="0.3">
      <c r="A32" s="69">
        <v>30</v>
      </c>
      <c r="B32" s="70">
        <v>-5.1000000000000076</v>
      </c>
      <c r="C32" s="71">
        <v>0</v>
      </c>
      <c r="D32" s="69">
        <v>30</v>
      </c>
      <c r="E32" s="70">
        <v>-5.2000000000000082</v>
      </c>
      <c r="F32" s="70">
        <v>0</v>
      </c>
      <c r="I32" s="72">
        <v>15</v>
      </c>
      <c r="J32" s="70">
        <v>0.91911764705882271</v>
      </c>
    </row>
    <row r="33" spans="1:10" x14ac:dyDescent="0.3">
      <c r="A33" s="69">
        <v>31</v>
      </c>
      <c r="B33" s="70">
        <v>-4.9000000000000075</v>
      </c>
      <c r="C33" s="71">
        <v>0</v>
      </c>
      <c r="D33" s="69">
        <v>31</v>
      </c>
      <c r="E33" s="70">
        <v>-5.000000000000008</v>
      </c>
      <c r="F33" s="70">
        <v>0</v>
      </c>
      <c r="I33" s="72">
        <v>15.5</v>
      </c>
      <c r="J33" s="70">
        <v>0.91911764705882271</v>
      </c>
    </row>
    <row r="34" spans="1:10" x14ac:dyDescent="0.3">
      <c r="A34" s="69">
        <v>32</v>
      </c>
      <c r="B34" s="70">
        <v>-4.7000000000000073</v>
      </c>
      <c r="C34" s="71">
        <v>0</v>
      </c>
      <c r="D34" s="69">
        <v>32</v>
      </c>
      <c r="E34" s="70">
        <v>-4.8000000000000078</v>
      </c>
      <c r="F34" s="70">
        <v>0</v>
      </c>
      <c r="I34" s="72">
        <v>16</v>
      </c>
      <c r="J34" s="70">
        <v>0.91911764705882271</v>
      </c>
    </row>
    <row r="35" spans="1:10" x14ac:dyDescent="0.3">
      <c r="A35" s="69">
        <v>33</v>
      </c>
      <c r="B35" s="70">
        <v>-4.5000000000000071</v>
      </c>
      <c r="C35" s="71">
        <v>0</v>
      </c>
      <c r="D35" s="69">
        <v>33</v>
      </c>
      <c r="E35" s="70">
        <v>-4.6000000000000076</v>
      </c>
      <c r="F35" s="70">
        <v>0</v>
      </c>
      <c r="I35" s="72">
        <v>16.5</v>
      </c>
      <c r="J35" s="70">
        <v>0.91911764705882271</v>
      </c>
    </row>
    <row r="36" spans="1:10" x14ac:dyDescent="0.3">
      <c r="A36" s="69">
        <v>34</v>
      </c>
      <c r="B36" s="70">
        <v>-4.3000000000000069</v>
      </c>
      <c r="C36" s="71">
        <v>0</v>
      </c>
      <c r="D36" s="69">
        <v>34</v>
      </c>
      <c r="E36" s="70">
        <v>-4.4000000000000075</v>
      </c>
      <c r="F36" s="70">
        <v>0</v>
      </c>
      <c r="I36" s="72">
        <v>17</v>
      </c>
      <c r="J36" s="70">
        <v>0.91911764705882271</v>
      </c>
    </row>
    <row r="37" spans="1:10" x14ac:dyDescent="0.3">
      <c r="A37" s="69">
        <v>35</v>
      </c>
      <c r="B37" s="70">
        <v>-4.1000000000000068</v>
      </c>
      <c r="C37" s="71">
        <v>0</v>
      </c>
      <c r="D37" s="69">
        <v>35</v>
      </c>
      <c r="E37" s="70">
        <v>-4.2000000000000073</v>
      </c>
      <c r="F37" s="70">
        <v>0</v>
      </c>
      <c r="I37" s="72">
        <v>17.5</v>
      </c>
      <c r="J37" s="70">
        <v>0.91911764705882271</v>
      </c>
    </row>
    <row r="38" spans="1:10" x14ac:dyDescent="0.3">
      <c r="A38" s="69">
        <v>36</v>
      </c>
      <c r="B38" s="70">
        <v>-3.9000000000000066</v>
      </c>
      <c r="C38" s="71">
        <v>0</v>
      </c>
      <c r="D38" s="69">
        <v>36</v>
      </c>
      <c r="E38" s="70">
        <v>-4.0000000000000071</v>
      </c>
      <c r="F38" s="70">
        <v>0</v>
      </c>
      <c r="I38" s="72">
        <v>18</v>
      </c>
      <c r="J38" s="70">
        <v>0.91911764705882271</v>
      </c>
    </row>
    <row r="39" spans="1:10" x14ac:dyDescent="0.3">
      <c r="A39" s="69">
        <v>37</v>
      </c>
      <c r="B39" s="70">
        <v>-3.7000000000000064</v>
      </c>
      <c r="C39" s="71">
        <v>0</v>
      </c>
      <c r="D39" s="69">
        <v>37</v>
      </c>
      <c r="E39" s="70">
        <v>-3.8000000000000069</v>
      </c>
      <c r="F39" s="70">
        <v>0</v>
      </c>
      <c r="I39" s="72">
        <v>18.5</v>
      </c>
      <c r="J39" s="70">
        <v>0.91911764705882271</v>
      </c>
    </row>
    <row r="40" spans="1:10" x14ac:dyDescent="0.3">
      <c r="A40" s="69">
        <v>38</v>
      </c>
      <c r="B40" s="70">
        <v>-3.5000000000000062</v>
      </c>
      <c r="C40" s="71">
        <v>0</v>
      </c>
      <c r="D40" s="69">
        <v>38</v>
      </c>
      <c r="E40" s="70">
        <v>-3.6000000000000068</v>
      </c>
      <c r="F40" s="70">
        <v>0</v>
      </c>
      <c r="I40" s="72">
        <v>19</v>
      </c>
      <c r="J40" s="70">
        <v>0.91911764705882271</v>
      </c>
    </row>
    <row r="41" spans="1:10" x14ac:dyDescent="0.3">
      <c r="A41" s="69">
        <v>39</v>
      </c>
      <c r="B41" s="70">
        <v>-3.300000000000006</v>
      </c>
      <c r="C41" s="71">
        <v>0</v>
      </c>
      <c r="D41" s="69">
        <v>39</v>
      </c>
      <c r="E41" s="70">
        <v>-3.4000000000000066</v>
      </c>
      <c r="F41" s="70">
        <v>0</v>
      </c>
      <c r="I41" s="72">
        <v>19.5</v>
      </c>
      <c r="J41" s="70">
        <v>0.91911764705882271</v>
      </c>
    </row>
    <row r="42" spans="1:10" x14ac:dyDescent="0.3">
      <c r="A42" s="69">
        <v>40</v>
      </c>
      <c r="B42" s="70">
        <v>-3.1000000000000059</v>
      </c>
      <c r="C42" s="71">
        <v>0</v>
      </c>
      <c r="D42" s="69">
        <v>40</v>
      </c>
      <c r="E42" s="70">
        <v>-3.2000000000000064</v>
      </c>
      <c r="F42" s="70">
        <v>0</v>
      </c>
      <c r="I42" s="72">
        <v>20</v>
      </c>
      <c r="J42" s="70">
        <v>0.91911764705882271</v>
      </c>
    </row>
    <row r="43" spans="1:10" x14ac:dyDescent="0.3">
      <c r="A43" s="69">
        <v>41</v>
      </c>
      <c r="B43" s="70">
        <v>-2.9000000000000057</v>
      </c>
      <c r="C43" s="71">
        <v>0</v>
      </c>
      <c r="D43" s="69">
        <v>41</v>
      </c>
      <c r="E43" s="70">
        <v>-3.0000000000000062</v>
      </c>
      <c r="F43" s="70">
        <v>0</v>
      </c>
      <c r="I43" s="72">
        <v>20.5</v>
      </c>
      <c r="J43" s="70">
        <v>0.91911764705882271</v>
      </c>
    </row>
    <row r="44" spans="1:10" x14ac:dyDescent="0.3">
      <c r="A44" s="69">
        <v>42</v>
      </c>
      <c r="B44" s="70">
        <v>-2.7000000000000055</v>
      </c>
      <c r="C44" s="71">
        <v>0</v>
      </c>
      <c r="D44" s="69">
        <v>42</v>
      </c>
      <c r="E44" s="70">
        <v>-2.800000000000006</v>
      </c>
      <c r="F44" s="70">
        <v>0</v>
      </c>
      <c r="I44" s="72">
        <v>21</v>
      </c>
      <c r="J44" s="70">
        <v>0.91911764705882271</v>
      </c>
    </row>
    <row r="45" spans="1:10" x14ac:dyDescent="0.3">
      <c r="A45" s="69">
        <v>43</v>
      </c>
      <c r="B45" s="70">
        <v>-2.5000000000000053</v>
      </c>
      <c r="C45" s="71">
        <v>0</v>
      </c>
      <c r="D45" s="69">
        <v>43</v>
      </c>
      <c r="E45" s="70">
        <v>-2.6000000000000059</v>
      </c>
      <c r="F45" s="70">
        <v>0</v>
      </c>
      <c r="I45" s="72">
        <v>21.5</v>
      </c>
      <c r="J45" s="70">
        <v>0.91911764705882271</v>
      </c>
    </row>
    <row r="46" spans="1:10" x14ac:dyDescent="0.3">
      <c r="A46" s="69">
        <v>44</v>
      </c>
      <c r="B46" s="70">
        <v>-2.3000000000000052</v>
      </c>
      <c r="C46" s="71">
        <v>0</v>
      </c>
      <c r="D46" s="69">
        <v>44</v>
      </c>
      <c r="E46" s="70">
        <v>-2.4000000000000057</v>
      </c>
      <c r="F46" s="70">
        <v>0</v>
      </c>
      <c r="I46" s="72">
        <v>22</v>
      </c>
      <c r="J46" s="70">
        <v>0.92095588235294035</v>
      </c>
    </row>
    <row r="47" spans="1:10" x14ac:dyDescent="0.3">
      <c r="A47" s="69">
        <v>45</v>
      </c>
      <c r="B47" s="70">
        <v>-2.100000000000005</v>
      </c>
      <c r="C47" s="71">
        <v>0</v>
      </c>
      <c r="D47" s="69">
        <v>45</v>
      </c>
      <c r="E47" s="70">
        <v>-2.2000000000000055</v>
      </c>
      <c r="F47" s="70">
        <v>0</v>
      </c>
      <c r="I47" s="72">
        <v>22.5</v>
      </c>
      <c r="J47" s="70">
        <v>0.92095588235294035</v>
      </c>
    </row>
    <row r="48" spans="1:10" x14ac:dyDescent="0.3">
      <c r="A48" s="69">
        <v>46</v>
      </c>
      <c r="B48" s="70">
        <v>-1.900000000000005</v>
      </c>
      <c r="C48" s="71">
        <v>0</v>
      </c>
      <c r="D48" s="69">
        <v>46</v>
      </c>
      <c r="E48" s="70">
        <v>-2.0000000000000053</v>
      </c>
      <c r="F48" s="70">
        <v>0</v>
      </c>
      <c r="I48" s="72">
        <v>23</v>
      </c>
      <c r="J48" s="70">
        <v>0.92095588235294035</v>
      </c>
    </row>
    <row r="49" spans="1:10" x14ac:dyDescent="0.3">
      <c r="A49" s="69">
        <v>47</v>
      </c>
      <c r="B49" s="70">
        <v>-1.7000000000000051</v>
      </c>
      <c r="C49" s="71">
        <v>0</v>
      </c>
      <c r="D49" s="69">
        <v>47</v>
      </c>
      <c r="E49" s="70">
        <v>-1.8000000000000054</v>
      </c>
      <c r="F49" s="70">
        <v>0</v>
      </c>
      <c r="I49" s="72">
        <v>23.5</v>
      </c>
      <c r="J49" s="70">
        <v>0.92095588235294035</v>
      </c>
    </row>
    <row r="50" spans="1:10" x14ac:dyDescent="0.3">
      <c r="A50" s="69">
        <v>48</v>
      </c>
      <c r="B50" s="70">
        <v>-1.5000000000000051</v>
      </c>
      <c r="C50" s="71">
        <v>0</v>
      </c>
      <c r="D50" s="69">
        <v>48</v>
      </c>
      <c r="E50" s="70">
        <v>-1.6000000000000054</v>
      </c>
      <c r="F50" s="70">
        <v>0</v>
      </c>
      <c r="I50" s="72">
        <v>24</v>
      </c>
      <c r="J50" s="70">
        <v>0.92095588235294035</v>
      </c>
    </row>
    <row r="51" spans="1:10" x14ac:dyDescent="0.3">
      <c r="A51" s="69">
        <v>49</v>
      </c>
      <c r="B51" s="70">
        <v>-1.3000000000000052</v>
      </c>
      <c r="C51" s="71">
        <v>0</v>
      </c>
      <c r="D51" s="69">
        <v>49</v>
      </c>
      <c r="E51" s="70">
        <v>-1.5</v>
      </c>
      <c r="F51" s="70">
        <v>0</v>
      </c>
      <c r="I51" s="72">
        <v>24.5</v>
      </c>
      <c r="J51" s="70">
        <v>0.92095588235294035</v>
      </c>
    </row>
    <row r="52" spans="1:10" x14ac:dyDescent="0.3">
      <c r="A52" s="69">
        <v>50</v>
      </c>
      <c r="B52" s="70">
        <v>-1.1000000000000052</v>
      </c>
      <c r="C52" s="71">
        <v>0</v>
      </c>
      <c r="D52" s="69">
        <v>50</v>
      </c>
      <c r="E52" s="70">
        <v>10</v>
      </c>
      <c r="F52" s="70">
        <v>0</v>
      </c>
      <c r="H52" s="70">
        <v>4188.4367462429482</v>
      </c>
      <c r="I52" s="72">
        <v>25</v>
      </c>
      <c r="J52" s="70">
        <v>0.92095588235294035</v>
      </c>
    </row>
    <row r="53" spans="1:10" x14ac:dyDescent="0.3">
      <c r="A53" s="69">
        <v>51</v>
      </c>
      <c r="B53" s="70">
        <v>-0.90000000000000524</v>
      </c>
      <c r="C53" s="71">
        <v>0</v>
      </c>
      <c r="D53" s="69">
        <v>51</v>
      </c>
      <c r="E53" s="70">
        <v>9.8000000000000007</v>
      </c>
      <c r="F53" s="70">
        <v>2.7589824145733363E-4</v>
      </c>
      <c r="G53" s="70">
        <v>37332.604751642997</v>
      </c>
      <c r="H53" s="70">
        <v>2738.6268529752642</v>
      </c>
      <c r="I53" s="72">
        <v>25.5</v>
      </c>
      <c r="J53" s="70">
        <v>0.92095588235294035</v>
      </c>
    </row>
    <row r="54" spans="1:10" x14ac:dyDescent="0.3">
      <c r="A54" s="69">
        <v>52</v>
      </c>
      <c r="B54" s="70">
        <v>-0.70000000000000528</v>
      </c>
      <c r="C54" s="71">
        <v>0</v>
      </c>
      <c r="D54" s="69">
        <v>52</v>
      </c>
      <c r="E54" s="70">
        <v>9.6000000000000014</v>
      </c>
      <c r="F54" s="70">
        <v>5.5179648291466725E-4</v>
      </c>
      <c r="G54" s="70">
        <v>18303.849902504578</v>
      </c>
      <c r="H54" s="70">
        <v>2255.3568885527029</v>
      </c>
      <c r="I54" s="72">
        <v>26</v>
      </c>
      <c r="J54" s="70">
        <v>0.92095588235294035</v>
      </c>
    </row>
    <row r="55" spans="1:10" x14ac:dyDescent="0.3">
      <c r="A55" s="69">
        <v>53</v>
      </c>
      <c r="B55" s="70">
        <v>-0.50000000000000533</v>
      </c>
      <c r="C55" s="71">
        <v>0</v>
      </c>
      <c r="D55" s="69">
        <v>53</v>
      </c>
      <c r="E55" s="70">
        <v>9.4000000000000021</v>
      </c>
      <c r="F55" s="70">
        <v>8.2769472437200088E-4</v>
      </c>
      <c r="G55" s="70">
        <v>11960.931619458439</v>
      </c>
      <c r="H55" s="70">
        <v>1965.3949098991664</v>
      </c>
      <c r="I55" s="72">
        <v>26.5</v>
      </c>
      <c r="J55" s="70">
        <v>0.92095588235294035</v>
      </c>
    </row>
    <row r="56" spans="1:10" x14ac:dyDescent="0.3">
      <c r="A56" s="69">
        <v>54</v>
      </c>
      <c r="B56" s="70">
        <v>-0.30000000000000532</v>
      </c>
      <c r="C56" s="71">
        <v>0</v>
      </c>
      <c r="D56" s="69">
        <v>54</v>
      </c>
      <c r="E56" s="70">
        <v>9.2000000000000028</v>
      </c>
      <c r="F56" s="70">
        <v>1.1035929658293345E-3</v>
      </c>
      <c r="G56" s="70">
        <v>8789.4724779353674</v>
      </c>
      <c r="H56" s="70">
        <v>1758.2792108609258</v>
      </c>
      <c r="I56" s="72">
        <v>27</v>
      </c>
      <c r="J56" s="70">
        <v>0.92095588235294035</v>
      </c>
    </row>
    <row r="57" spans="1:10" x14ac:dyDescent="0.3">
      <c r="A57" s="69">
        <v>55</v>
      </c>
      <c r="B57" s="70">
        <v>-0.10000000000000531</v>
      </c>
      <c r="C57" s="71">
        <v>0</v>
      </c>
      <c r="D57" s="69">
        <v>55</v>
      </c>
      <c r="E57" s="70">
        <v>9.0000000000000036</v>
      </c>
      <c r="F57" s="70">
        <v>1.3794912072866681E-3</v>
      </c>
      <c r="G57" s="70">
        <v>6886.596993021526</v>
      </c>
      <c r="H57" s="70">
        <v>1597.1892227200719</v>
      </c>
      <c r="I57" s="72">
        <v>27.5</v>
      </c>
      <c r="J57" s="70">
        <v>0.92095588235294035</v>
      </c>
    </row>
    <row r="58" spans="1:10" x14ac:dyDescent="0.3">
      <c r="A58" s="69">
        <v>56</v>
      </c>
      <c r="B58" s="70">
        <v>9.9999999999994704E-2</v>
      </c>
      <c r="C58" s="71">
        <v>3.3857808144558679E-4</v>
      </c>
      <c r="D58" s="69">
        <v>56</v>
      </c>
      <c r="E58" s="70">
        <v>8.8000000000000043</v>
      </c>
      <c r="F58" s="70">
        <v>1.6553894487440018E-3</v>
      </c>
      <c r="G58" s="70">
        <v>5618.0133364122985</v>
      </c>
      <c r="H58" s="70">
        <v>1465.3883233321008</v>
      </c>
      <c r="I58" s="72">
        <v>28</v>
      </c>
      <c r="J58" s="70">
        <v>0.92095588235294035</v>
      </c>
    </row>
    <row r="59" spans="1:10" x14ac:dyDescent="0.3">
      <c r="A59" s="69">
        <v>57</v>
      </c>
      <c r="B59" s="70">
        <v>0.29999999999999472</v>
      </c>
      <c r="C59" s="71">
        <v>3.3857808144558679E-4</v>
      </c>
      <c r="D59" s="69">
        <v>57</v>
      </c>
      <c r="E59" s="70">
        <v>8.600000000000005</v>
      </c>
      <c r="F59" s="70">
        <v>1.9312876902013354E-3</v>
      </c>
      <c r="G59" s="70">
        <v>4711.8821531199919</v>
      </c>
      <c r="H59" s="70">
        <v>1353.8644853884327</v>
      </c>
      <c r="I59" s="72">
        <v>28.5</v>
      </c>
      <c r="J59" s="70">
        <v>0.92095588235294035</v>
      </c>
    </row>
    <row r="60" spans="1:10" x14ac:dyDescent="0.3">
      <c r="A60" s="69">
        <v>58</v>
      </c>
      <c r="B60" s="70">
        <v>0.49999999999999473</v>
      </c>
      <c r="C60" s="71">
        <v>3.3857808144558679E-4</v>
      </c>
      <c r="D60" s="69">
        <v>58</v>
      </c>
      <c r="E60" s="70">
        <v>8.4000000000000057</v>
      </c>
      <c r="F60" s="70">
        <v>2.207185931658669E-3</v>
      </c>
      <c r="G60" s="70">
        <v>4032.2837656507631</v>
      </c>
      <c r="H60" s="70">
        <v>1257.2104925039205</v>
      </c>
      <c r="I60" s="72">
        <v>29</v>
      </c>
      <c r="J60" s="70">
        <v>0.92095588235294035</v>
      </c>
    </row>
    <row r="61" spans="1:10" x14ac:dyDescent="0.3">
      <c r="A61" s="69">
        <v>59</v>
      </c>
      <c r="B61" s="70">
        <v>0.69999999999999474</v>
      </c>
      <c r="C61" s="71">
        <v>3.3857808144558679E-4</v>
      </c>
      <c r="D61" s="69">
        <v>59</v>
      </c>
      <c r="E61" s="70">
        <v>8.2000000000000064</v>
      </c>
      <c r="F61" s="70">
        <v>2.4830841731160024E-3</v>
      </c>
      <c r="G61" s="70">
        <v>3503.707242063585</v>
      </c>
      <c r="H61" s="70">
        <v>1171.9275576058214</v>
      </c>
      <c r="I61" s="72">
        <v>29.5</v>
      </c>
      <c r="J61" s="70">
        <v>0.92095588235294035</v>
      </c>
    </row>
    <row r="62" spans="1:10" x14ac:dyDescent="0.3">
      <c r="A62" s="69">
        <v>60</v>
      </c>
      <c r="B62" s="70">
        <v>0.8999999999999948</v>
      </c>
      <c r="C62" s="71">
        <v>3.3857808144558679E-4</v>
      </c>
      <c r="D62" s="69">
        <v>60</v>
      </c>
      <c r="E62" s="70">
        <v>8.0000000000000071</v>
      </c>
      <c r="F62" s="70">
        <v>2.7589824145733358E-3</v>
      </c>
      <c r="G62" s="70">
        <v>3080.8460231938425</v>
      </c>
      <c r="H62" s="70">
        <v>1095.6217737496274</v>
      </c>
      <c r="I62" s="72">
        <v>30</v>
      </c>
      <c r="J62" s="70">
        <v>0.92095588235294035</v>
      </c>
    </row>
    <row r="63" spans="1:10" x14ac:dyDescent="0.3">
      <c r="A63" s="69">
        <v>61</v>
      </c>
      <c r="B63" s="70">
        <v>1.0999999999999948</v>
      </c>
      <c r="C63" s="71">
        <v>3.385780814455868E-6</v>
      </c>
      <c r="D63" s="69">
        <v>61</v>
      </c>
      <c r="E63" s="70">
        <v>7.8000000000000069</v>
      </c>
      <c r="F63" s="70">
        <v>3.0348806560306692E-3</v>
      </c>
      <c r="G63" s="70">
        <v>2734.8686623004169</v>
      </c>
      <c r="H63" s="70">
        <v>1026.583207403547</v>
      </c>
      <c r="I63" s="72">
        <v>30.5</v>
      </c>
      <c r="J63" s="70">
        <v>0.92095588235294035</v>
      </c>
    </row>
    <row r="64" spans="1:10" x14ac:dyDescent="0.3">
      <c r="A64" s="69">
        <v>62</v>
      </c>
      <c r="B64" s="70">
        <v>1.2999999999999947</v>
      </c>
      <c r="C64" s="71">
        <v>3.385780814455868E-6</v>
      </c>
      <c r="D64" s="69">
        <v>62</v>
      </c>
      <c r="E64" s="70">
        <v>7.6000000000000068</v>
      </c>
      <c r="F64" s="70">
        <v>3.3107788974880027E-3</v>
      </c>
      <c r="G64" s="70">
        <v>2446.5541948892283</v>
      </c>
      <c r="H64" s="70">
        <v>963.5479946527779</v>
      </c>
      <c r="I64" s="72">
        <v>31</v>
      </c>
      <c r="J64" s="70">
        <v>0.92095588235294035</v>
      </c>
    </row>
    <row r="65" spans="1:10" x14ac:dyDescent="0.3">
      <c r="A65" s="69">
        <v>63</v>
      </c>
      <c r="B65" s="70">
        <v>1.4999999999999947</v>
      </c>
      <c r="C65" s="71">
        <v>3.385780814455868E-6</v>
      </c>
      <c r="D65" s="69">
        <v>63</v>
      </c>
      <c r="E65" s="70">
        <v>7.4000000000000066</v>
      </c>
      <c r="F65" s="70">
        <v>3.5866771389453361E-3</v>
      </c>
      <c r="G65" s="70">
        <v>2202.5957993874536</v>
      </c>
      <c r="H65" s="70">
        <v>905.55559892207032</v>
      </c>
      <c r="I65" s="72">
        <v>31.5</v>
      </c>
      <c r="J65" s="70">
        <v>0.92095588235294035</v>
      </c>
    </row>
    <row r="66" spans="1:10" x14ac:dyDescent="0.3">
      <c r="A66" s="69">
        <v>64</v>
      </c>
      <c r="B66" s="70">
        <v>1.6999999999999946</v>
      </c>
      <c r="C66" s="71">
        <v>3.385780814455868E-6</v>
      </c>
      <c r="D66" s="69">
        <v>64</v>
      </c>
      <c r="E66" s="70">
        <v>7.2000000000000064</v>
      </c>
      <c r="F66" s="70">
        <v>3.8625753804026695E-3</v>
      </c>
      <c r="G66" s="70">
        <v>1993.488603243075</v>
      </c>
      <c r="H66" s="70">
        <v>851.85893620845218</v>
      </c>
      <c r="I66" s="72">
        <v>32</v>
      </c>
      <c r="J66" s="70">
        <v>0.92095588235294035</v>
      </c>
    </row>
    <row r="67" spans="1:10" x14ac:dyDescent="0.3">
      <c r="A67" s="69">
        <v>65</v>
      </c>
      <c r="B67" s="70">
        <v>1.8999999999999946</v>
      </c>
      <c r="C67" s="71">
        <v>3.385780814455868E-6</v>
      </c>
      <c r="D67" s="69">
        <v>65</v>
      </c>
      <c r="E67" s="70">
        <v>7.0000000000000062</v>
      </c>
      <c r="F67" s="70">
        <v>4.1384736218600029E-3</v>
      </c>
      <c r="G67" s="70">
        <v>1812.2623665846136</v>
      </c>
      <c r="H67" s="70">
        <v>801.86549161301457</v>
      </c>
      <c r="I67" s="72">
        <v>32.5</v>
      </c>
      <c r="J67" s="70">
        <v>0.92095588235294035</v>
      </c>
    </row>
    <row r="68" spans="1:10" x14ac:dyDescent="0.3">
      <c r="A68" s="69">
        <v>66</v>
      </c>
      <c r="B68" s="70">
        <v>2.0999999999999948</v>
      </c>
      <c r="C68" s="71">
        <v>3.385780814455868E-6</v>
      </c>
      <c r="D68" s="69">
        <v>66</v>
      </c>
      <c r="E68" s="70">
        <v>6.800000000000006</v>
      </c>
      <c r="F68" s="70">
        <v>4.4143718633173363E-3</v>
      </c>
      <c r="G68" s="70">
        <v>1653.6894095084599</v>
      </c>
      <c r="H68" s="70">
        <v>755.09743053986324</v>
      </c>
      <c r="I68" s="72">
        <v>33</v>
      </c>
      <c r="J68" s="70">
        <v>0.92095588235294035</v>
      </c>
    </row>
    <row r="69" spans="1:10" x14ac:dyDescent="0.3">
      <c r="A69" s="69">
        <v>67</v>
      </c>
      <c r="B69" s="70">
        <v>2.2999999999999949</v>
      </c>
      <c r="C69" s="71">
        <v>3.385780814455868E-6</v>
      </c>
      <c r="D69" s="69">
        <v>67</v>
      </c>
      <c r="E69" s="70">
        <v>6.6000000000000059</v>
      </c>
      <c r="F69" s="70">
        <v>4.6902701047746697E-3</v>
      </c>
      <c r="G69" s="70">
        <v>1513.7720944412656</v>
      </c>
      <c r="H69" s="70">
        <v>711.16379741053925</v>
      </c>
      <c r="I69" s="72">
        <v>33.5</v>
      </c>
      <c r="J69" s="70">
        <v>0.92095588235294035</v>
      </c>
    </row>
    <row r="70" spans="1:10" x14ac:dyDescent="0.3">
      <c r="A70" s="69">
        <v>68</v>
      </c>
      <c r="B70" s="70">
        <v>2.4999999999999951</v>
      </c>
      <c r="C70" s="71">
        <v>3.385780814455868E-6</v>
      </c>
      <c r="D70" s="69">
        <v>68</v>
      </c>
      <c r="E70" s="70">
        <v>6.4000000000000057</v>
      </c>
      <c r="F70" s="70">
        <v>4.9661683462320031E-3</v>
      </c>
      <c r="G70" s="70">
        <v>1389.4011477148706</v>
      </c>
      <c r="H70" s="70">
        <v>669.74065760289091</v>
      </c>
      <c r="I70" s="72">
        <v>34</v>
      </c>
      <c r="J70" s="70">
        <v>0.92095588235294035</v>
      </c>
    </row>
    <row r="71" spans="1:10" x14ac:dyDescent="0.3">
      <c r="A71" s="69">
        <v>69</v>
      </c>
      <c r="B71" s="70">
        <v>2.6999999999999953</v>
      </c>
      <c r="C71" s="71">
        <v>3.385780814455868E-6</v>
      </c>
      <c r="D71" s="69">
        <v>69</v>
      </c>
      <c r="E71" s="70">
        <v>6.2000000000000055</v>
      </c>
      <c r="F71" s="70">
        <v>5.2420665876893365E-3</v>
      </c>
      <c r="G71" s="70">
        <v>1278.1218795912539</v>
      </c>
      <c r="H71" s="70">
        <v>630.55660643349381</v>
      </c>
      <c r="I71" s="72">
        <v>34.5</v>
      </c>
      <c r="J71" s="70">
        <v>0.92095588235294035</v>
      </c>
    </row>
    <row r="72" spans="1:10" x14ac:dyDescent="0.3">
      <c r="A72" s="69">
        <v>70</v>
      </c>
      <c r="B72" s="70">
        <v>2.8999999999999955</v>
      </c>
      <c r="C72" s="71">
        <v>3.385780814455868E-6</v>
      </c>
      <c r="D72" s="69">
        <v>70</v>
      </c>
      <c r="E72" s="70">
        <v>6.0000000000000053</v>
      </c>
      <c r="F72" s="70">
        <v>5.5179648291466699E-3</v>
      </c>
      <c r="G72" s="70">
        <v>1177.9705382799989</v>
      </c>
      <c r="H72" s="70">
        <v>593.38199378560432</v>
      </c>
      <c r="I72" s="72">
        <v>35</v>
      </c>
      <c r="J72" s="70">
        <v>0.92095588235294035</v>
      </c>
    </row>
    <row r="73" spans="1:10" x14ac:dyDescent="0.3">
      <c r="A73" s="69">
        <v>71</v>
      </c>
      <c r="B73" s="70">
        <v>3.0999999999999956</v>
      </c>
      <c r="C73" s="71">
        <v>3.385780814455868E-6</v>
      </c>
      <c r="D73" s="69">
        <v>71</v>
      </c>
      <c r="E73" s="70">
        <v>5.8000000000000052</v>
      </c>
      <c r="F73" s="70">
        <v>5.7938630706040033E-3</v>
      </c>
      <c r="G73" s="70">
        <v>1087.3574199507682</v>
      </c>
      <c r="H73" s="70">
        <v>558.02077687663621</v>
      </c>
      <c r="I73" s="72">
        <v>35.5</v>
      </c>
      <c r="J73" s="70">
        <v>0.92095588235294035</v>
      </c>
    </row>
    <row r="74" spans="1:10" x14ac:dyDescent="0.3">
      <c r="A74" s="69">
        <v>72</v>
      </c>
      <c r="B74" s="70">
        <v>3.2999999999999958</v>
      </c>
      <c r="C74" s="71">
        <v>3.385780814455868E-6</v>
      </c>
      <c r="D74" s="69">
        <v>72</v>
      </c>
      <c r="E74" s="70">
        <v>5.600000000000005</v>
      </c>
      <c r="F74" s="70">
        <v>6.0697613120613367E-3</v>
      </c>
      <c r="G74" s="70">
        <v>1004.9818578332859</v>
      </c>
      <c r="H74" s="70">
        <v>524.30426773087595</v>
      </c>
      <c r="I74" s="72">
        <v>36</v>
      </c>
      <c r="J74" s="70">
        <v>0.92095588235294035</v>
      </c>
    </row>
    <row r="75" spans="1:10" x14ac:dyDescent="0.3">
      <c r="A75" s="69">
        <v>73</v>
      </c>
      <c r="B75" s="70">
        <v>3.499999999999996</v>
      </c>
      <c r="C75" s="71">
        <v>3.385780814455868E-6</v>
      </c>
      <c r="D75" s="69">
        <v>73</v>
      </c>
      <c r="E75" s="70">
        <v>5.4000000000000048</v>
      </c>
      <c r="F75" s="70">
        <v>6.3456595535186702E-3</v>
      </c>
      <c r="G75" s="70">
        <v>929.76938807384533</v>
      </c>
      <c r="H75" s="70">
        <v>492.08627010270504</v>
      </c>
      <c r="I75" s="72">
        <v>36.5</v>
      </c>
      <c r="J75" s="70">
        <v>0.92095588235294035</v>
      </c>
    </row>
    <row r="76" spans="1:10" x14ac:dyDescent="0.3">
      <c r="A76" s="69">
        <v>74</v>
      </c>
      <c r="B76" s="70">
        <v>3.6999999999999962</v>
      </c>
      <c r="C76" s="71">
        <v>3.385780814455868E-6</v>
      </c>
      <c r="D76" s="69">
        <v>74</v>
      </c>
      <c r="E76" s="70">
        <v>5.2000000000000046</v>
      </c>
      <c r="F76" s="70">
        <v>6.6215577949760036E-3</v>
      </c>
      <c r="G76" s="70">
        <v>860.82462412769155</v>
      </c>
      <c r="H76" s="70">
        <v>461.23925109700951</v>
      </c>
      <c r="I76" s="72">
        <v>37</v>
      </c>
      <c r="J76" s="70">
        <v>0.92095588235294035</v>
      </c>
    </row>
    <row r="77" spans="1:10" x14ac:dyDescent="0.3">
      <c r="A77" s="69">
        <v>75</v>
      </c>
      <c r="B77" s="70">
        <v>3.8999999999999964</v>
      </c>
      <c r="C77" s="71">
        <v>3.385780814455868E-6</v>
      </c>
      <c r="D77" s="69">
        <v>75</v>
      </c>
      <c r="E77" s="70">
        <v>5.0000000000000044</v>
      </c>
      <c r="F77" s="70">
        <v>6.897456036433337E-3</v>
      </c>
      <c r="G77" s="70">
        <v>797.39544129723015</v>
      </c>
      <c r="H77" s="70">
        <v>431.65129409154645</v>
      </c>
      <c r="I77" s="72">
        <v>37.5</v>
      </c>
      <c r="J77" s="70">
        <v>0.92095588235294035</v>
      </c>
    </row>
    <row r="78" spans="1:10" x14ac:dyDescent="0.3">
      <c r="A78" s="69">
        <v>76</v>
      </c>
      <c r="B78" s="70">
        <v>4.0999999999999961</v>
      </c>
      <c r="C78" s="71">
        <v>3.385780814455868E-6</v>
      </c>
      <c r="D78" s="69">
        <v>76</v>
      </c>
      <c r="E78" s="70">
        <v>4.8000000000000043</v>
      </c>
      <c r="F78" s="70">
        <v>7.1733542778906704E-3</v>
      </c>
      <c r="G78" s="70">
        <v>738.84542637680408</v>
      </c>
      <c r="H78" s="70">
        <v>403.2236491255133</v>
      </c>
      <c r="I78" s="72">
        <v>38</v>
      </c>
      <c r="J78" s="70">
        <v>0.92095588235294035</v>
      </c>
    </row>
    <row r="79" spans="1:10" x14ac:dyDescent="0.3">
      <c r="A79" s="69">
        <v>77</v>
      </c>
      <c r="B79" s="70">
        <v>4.2999999999999963</v>
      </c>
      <c r="C79" s="71">
        <v>3.385780814455868E-6</v>
      </c>
      <c r="D79" s="69">
        <v>77</v>
      </c>
      <c r="E79" s="70">
        <v>4.6000000000000041</v>
      </c>
      <c r="F79" s="70">
        <v>7.4492525193480038E-3</v>
      </c>
      <c r="G79" s="70">
        <v>684.63244959863198</v>
      </c>
      <c r="H79" s="70">
        <v>375.86874547895309</v>
      </c>
      <c r="I79" s="72">
        <v>38.5</v>
      </c>
      <c r="J79" s="70">
        <v>0.92095588235294035</v>
      </c>
    </row>
    <row r="80" spans="1:10" x14ac:dyDescent="0.3">
      <c r="A80" s="69">
        <v>78</v>
      </c>
      <c r="B80" s="70">
        <v>4.4999999999999964</v>
      </c>
      <c r="C80" s="71">
        <v>3.385780814455868E-6</v>
      </c>
      <c r="D80" s="69">
        <v>78</v>
      </c>
      <c r="E80" s="70">
        <v>4.4000000000000039</v>
      </c>
      <c r="F80" s="70">
        <v>7.7251507608053372E-3</v>
      </c>
      <c r="G80" s="70">
        <v>634.29182830461491</v>
      </c>
      <c r="H80" s="70">
        <v>349.50856560135873</v>
      </c>
      <c r="I80" s="72">
        <v>39</v>
      </c>
      <c r="J80" s="70">
        <v>0.92279411764705799</v>
      </c>
    </row>
    <row r="81" spans="1:10" x14ac:dyDescent="0.3">
      <c r="A81" s="69">
        <v>79</v>
      </c>
      <c r="B81" s="70">
        <v>4.6999999999999966</v>
      </c>
      <c r="C81" s="71">
        <v>3.385780814455868E-6</v>
      </c>
      <c r="D81" s="69">
        <v>79</v>
      </c>
      <c r="E81" s="70">
        <v>4.2000000000000037</v>
      </c>
      <c r="F81" s="70">
        <v>8.0010490022626706E-3</v>
      </c>
      <c r="G81" s="70">
        <v>587.4229739963921</v>
      </c>
      <c r="H81" s="70">
        <v>324.07330431596063</v>
      </c>
      <c r="I81" s="72">
        <v>39.5</v>
      </c>
      <c r="J81" s="70">
        <v>0.92279411764705799</v>
      </c>
    </row>
    <row r="82" spans="1:10" x14ac:dyDescent="0.3">
      <c r="A82" s="69">
        <v>80</v>
      </c>
      <c r="B82" s="70">
        <v>4.8999999999999968</v>
      </c>
      <c r="C82" s="71">
        <v>3.385780814455868E-6</v>
      </c>
      <c r="D82" s="69">
        <v>80</v>
      </c>
      <c r="E82" s="70">
        <v>4.0000000000000036</v>
      </c>
      <c r="F82" s="70">
        <v>8.276947243720004E-3</v>
      </c>
      <c r="G82" s="70">
        <v>543.67870997538421</v>
      </c>
      <c r="H82" s="70">
        <v>299.50025527752518</v>
      </c>
      <c r="I82" s="72">
        <v>40</v>
      </c>
      <c r="J82" s="70">
        <v>0.92279411764705799</v>
      </c>
    </row>
    <row r="83" spans="1:10" x14ac:dyDescent="0.3">
      <c r="A83" s="69">
        <v>81</v>
      </c>
      <c r="B83" s="70">
        <v>5.099999999999997</v>
      </c>
      <c r="C83" s="71">
        <v>3.385780814455868E-6</v>
      </c>
      <c r="D83" s="69">
        <v>81</v>
      </c>
      <c r="E83" s="70">
        <v>3.8000000000000034</v>
      </c>
      <c r="F83" s="70">
        <v>8.5528454851773374E-3</v>
      </c>
      <c r="G83" s="70">
        <v>502.75665653637679</v>
      </c>
      <c r="H83" s="70">
        <v>275.73287997805483</v>
      </c>
      <c r="I83" s="72">
        <v>40.5</v>
      </c>
      <c r="J83" s="70">
        <v>0.92279411764705799</v>
      </c>
    </row>
    <row r="84" spans="1:10" x14ac:dyDescent="0.3">
      <c r="A84" s="69">
        <v>82</v>
      </c>
      <c r="B84" s="70">
        <v>5.2999999999999972</v>
      </c>
      <c r="C84" s="71">
        <v>3.385780814455868E-6</v>
      </c>
      <c r="D84" s="69">
        <v>82</v>
      </c>
      <c r="E84" s="70">
        <v>3.6000000000000032</v>
      </c>
      <c r="F84" s="70">
        <v>8.8287437266346708E-3</v>
      </c>
      <c r="G84" s="70">
        <v>464.39223143730732</v>
      </c>
      <c r="H84" s="70">
        <v>252.72002452936132</v>
      </c>
      <c r="I84" s="72">
        <v>41</v>
      </c>
      <c r="J84" s="70">
        <v>0.92279411764705799</v>
      </c>
    </row>
    <row r="85" spans="1:10" x14ac:dyDescent="0.3">
      <c r="A85" s="69">
        <v>83</v>
      </c>
      <c r="B85" s="70">
        <v>5.4999999999999973</v>
      </c>
      <c r="C85" s="71">
        <v>3.385780814455868E-6</v>
      </c>
      <c r="D85" s="69">
        <v>83</v>
      </c>
      <c r="E85" s="70">
        <v>3.400000000000003</v>
      </c>
      <c r="F85" s="70">
        <v>9.1046419680920043E-3</v>
      </c>
      <c r="G85" s="70">
        <v>428.35292301090874</v>
      </c>
      <c r="H85" s="70">
        <v>230.41525694062761</v>
      </c>
      <c r="I85" s="72">
        <v>41.5</v>
      </c>
      <c r="J85" s="70">
        <v>0.92279411764705799</v>
      </c>
    </row>
    <row r="86" spans="1:10" x14ac:dyDescent="0.3">
      <c r="A86" s="69">
        <v>84</v>
      </c>
      <c r="B86" s="70">
        <v>5.6999999999999975</v>
      </c>
      <c r="C86" s="71">
        <v>3.385780814455868E-6</v>
      </c>
      <c r="D86" s="69">
        <v>84</v>
      </c>
      <c r="E86" s="70">
        <v>3.2000000000000028</v>
      </c>
      <c r="F86" s="70">
        <v>9.3805402095493377E-3</v>
      </c>
      <c r="G86" s="70">
        <v>394.43357390371011</v>
      </c>
      <c r="H86" s="70">
        <v>208.77630330976655</v>
      </c>
      <c r="I86" s="72">
        <v>42</v>
      </c>
      <c r="J86" s="70">
        <v>0.92279411764705799</v>
      </c>
    </row>
    <row r="87" spans="1:10" x14ac:dyDescent="0.3">
      <c r="A87" s="69">
        <v>85</v>
      </c>
      <c r="B87" s="70">
        <v>5.8999999999999977</v>
      </c>
      <c r="C87" s="71">
        <v>3.385780814455868E-6</v>
      </c>
      <c r="D87" s="69">
        <v>85</v>
      </c>
      <c r="E87" s="70">
        <v>3.0000000000000027</v>
      </c>
      <c r="F87" s="70">
        <v>9.6564384510066711E-3</v>
      </c>
      <c r="G87" s="70">
        <v>362.45247331692281</v>
      </c>
      <c r="H87" s="70">
        <v>187.76456572617681</v>
      </c>
      <c r="I87" s="72">
        <v>42.5</v>
      </c>
      <c r="J87" s="70">
        <v>0.92279411764705799</v>
      </c>
    </row>
    <row r="88" spans="1:10" x14ac:dyDescent="0.3">
      <c r="A88" s="69">
        <v>86</v>
      </c>
      <c r="B88" s="70">
        <v>6.0999999999999979</v>
      </c>
      <c r="C88" s="71">
        <v>3.385780814455868E-6</v>
      </c>
      <c r="D88" s="69">
        <v>86</v>
      </c>
      <c r="E88" s="70">
        <v>2.8000000000000025</v>
      </c>
      <c r="F88" s="70">
        <v>9.9323366924640045E-3</v>
      </c>
      <c r="G88" s="70">
        <v>332.24810054051255</v>
      </c>
      <c r="H88" s="70">
        <v>167.34470807451919</v>
      </c>
      <c r="I88" s="72">
        <v>43</v>
      </c>
      <c r="J88" s="70">
        <v>0.92279411764705799</v>
      </c>
    </row>
    <row r="89" spans="1:10" x14ac:dyDescent="0.3">
      <c r="A89" s="69">
        <v>87</v>
      </c>
      <c r="B89" s="70">
        <v>6.299999999999998</v>
      </c>
      <c r="C89" s="71">
        <v>3.385780814455868E-6</v>
      </c>
      <c r="D89" s="69">
        <v>87</v>
      </c>
      <c r="E89" s="70">
        <v>2.6000000000000023</v>
      </c>
      <c r="F89" s="70">
        <v>1.0208234933921338E-2</v>
      </c>
      <c r="G89" s="70">
        <v>303.67639656282722</v>
      </c>
      <c r="H89" s="70">
        <v>147.48429857770151</v>
      </c>
      <c r="I89" s="72">
        <v>43.5</v>
      </c>
      <c r="J89" s="70">
        <v>0.92279411764705799</v>
      </c>
    </row>
    <row r="90" spans="1:10" x14ac:dyDescent="0.3">
      <c r="A90" s="69">
        <v>88</v>
      </c>
      <c r="B90" s="70">
        <v>6.4999999999999982</v>
      </c>
      <c r="C90" s="71">
        <v>3.385780814455868E-6</v>
      </c>
      <c r="D90" s="69">
        <v>88</v>
      </c>
      <c r="E90" s="70">
        <v>2.4000000000000021</v>
      </c>
      <c r="F90" s="70">
        <v>1.0484133175378671E-2</v>
      </c>
      <c r="G90" s="70">
        <v>276.6084664787042</v>
      </c>
      <c r="H90" s="70">
        <v>128.15350000079897</v>
      </c>
      <c r="I90" s="72">
        <v>44</v>
      </c>
      <c r="J90" s="70">
        <v>0.92279411764705799</v>
      </c>
    </row>
    <row r="91" spans="1:10" x14ac:dyDescent="0.3">
      <c r="A91" s="69">
        <v>89</v>
      </c>
      <c r="B91" s="70">
        <v>6.6999999999999984</v>
      </c>
      <c r="C91" s="71">
        <v>3.385780814455868E-6</v>
      </c>
      <c r="D91" s="69">
        <v>89</v>
      </c>
      <c r="E91" s="70">
        <v>2.200000000000002</v>
      </c>
      <c r="F91" s="70">
        <v>1.0760031416836005E-2</v>
      </c>
      <c r="G91" s="70">
        <v>250.92863537325422</v>
      </c>
      <c r="H91" s="70">
        <v>109.32480008823154</v>
      </c>
      <c r="I91" s="72">
        <v>44.5</v>
      </c>
      <c r="J91" s="70">
        <v>0.92279411764705799</v>
      </c>
    </row>
    <row r="92" spans="1:10" x14ac:dyDescent="0.3">
      <c r="A92" s="69">
        <v>90</v>
      </c>
      <c r="B92" s="70">
        <v>6.8999999999999986</v>
      </c>
      <c r="C92" s="71">
        <v>3.385780814455868E-6</v>
      </c>
      <c r="D92" s="69">
        <v>90</v>
      </c>
      <c r="E92" s="70">
        <v>2.0000000000000018</v>
      </c>
      <c r="F92" s="70">
        <v>1.1035929658293338E-2</v>
      </c>
      <c r="G92" s="70">
        <v>226.53279582307673</v>
      </c>
      <c r="H92" s="70">
        <v>90.97277612281772</v>
      </c>
      <c r="I92" s="72">
        <v>45</v>
      </c>
      <c r="J92" s="70">
        <v>0.92279411764705799</v>
      </c>
    </row>
    <row r="93" spans="1:10" x14ac:dyDescent="0.3">
      <c r="A93" s="69">
        <v>91</v>
      </c>
      <c r="B93" s="70">
        <v>7.0999999999999988</v>
      </c>
      <c r="C93" s="71">
        <v>3.385780814455868E-6</v>
      </c>
      <c r="D93" s="69">
        <v>91</v>
      </c>
      <c r="E93" s="70">
        <v>1.8000000000000018</v>
      </c>
      <c r="F93" s="70">
        <v>1.1311827899750672E-2</v>
      </c>
      <c r="G93" s="70">
        <v>203.32699722656645</v>
      </c>
      <c r="H93" s="70">
        <v>73.073888551611674</v>
      </c>
      <c r="I93" s="72">
        <v>45.5</v>
      </c>
      <c r="J93" s="70">
        <v>0.92279411764705799</v>
      </c>
    </row>
    <row r="94" spans="1:10" x14ac:dyDescent="0.3">
      <c r="A94" s="69">
        <v>92</v>
      </c>
      <c r="B94" s="70">
        <v>7.2999999999999989</v>
      </c>
      <c r="C94" s="71">
        <v>3.385780814455868E-6</v>
      </c>
      <c r="D94" s="69">
        <v>92</v>
      </c>
      <c r="E94" s="70">
        <v>1.6000000000000019</v>
      </c>
      <c r="F94" s="70">
        <v>1.1587726141208005E-2</v>
      </c>
      <c r="G94" s="70">
        <v>181.22623665846143</v>
      </c>
      <c r="H94" s="70">
        <v>55.606299476097334</v>
      </c>
      <c r="I94" s="72">
        <v>46</v>
      </c>
      <c r="J94" s="70">
        <v>0.92279411764705799</v>
      </c>
    </row>
    <row r="95" spans="1:10" x14ac:dyDescent="0.3">
      <c r="A95" s="69">
        <v>93</v>
      </c>
      <c r="B95" s="70">
        <v>7.4999999999999991</v>
      </c>
      <c r="C95" s="71">
        <v>3.385780814455868E-6</v>
      </c>
      <c r="D95" s="69">
        <v>93</v>
      </c>
      <c r="E95" s="70">
        <v>1.4000000000000019</v>
      </c>
      <c r="F95" s="70">
        <v>1.1863624382665338E-2</v>
      </c>
      <c r="G95" s="70">
        <v>160.15341844236127</v>
      </c>
      <c r="H95" s="70">
        <v>38.549712496477454</v>
      </c>
      <c r="I95" s="72">
        <v>46.5</v>
      </c>
      <c r="J95" s="70">
        <v>0.92279411764705799</v>
      </c>
    </row>
    <row r="96" spans="1:10" x14ac:dyDescent="0.3">
      <c r="A96" s="69">
        <v>94</v>
      </c>
      <c r="B96" s="70">
        <v>7.6999999999999993</v>
      </c>
      <c r="C96" s="71">
        <v>3.385780814455868E-6</v>
      </c>
      <c r="D96" s="69">
        <v>94</v>
      </c>
      <c r="E96" s="70">
        <v>1.200000000000002</v>
      </c>
      <c r="F96" s="70">
        <v>1.2139522624122672E-2</v>
      </c>
      <c r="G96" s="70">
        <v>140.03845559972024</v>
      </c>
      <c r="H96" s="70">
        <v>21.885230964664924</v>
      </c>
      <c r="I96" s="72">
        <v>47</v>
      </c>
      <c r="J96" s="70">
        <v>0.92279411764705799</v>
      </c>
    </row>
    <row r="97" spans="1:10" x14ac:dyDescent="0.3">
      <c r="A97" s="69">
        <v>95</v>
      </c>
      <c r="B97" s="70">
        <v>7.8999999999999995</v>
      </c>
      <c r="C97" s="71">
        <v>3.385780814455868E-6</v>
      </c>
      <c r="D97" s="69">
        <v>95</v>
      </c>
      <c r="E97" s="70">
        <v>1.000000000000002</v>
      </c>
      <c r="F97" s="70">
        <v>3.9729346769856032E-2</v>
      </c>
      <c r="G97" s="70">
        <v>37.755465970512802</v>
      </c>
      <c r="H97" s="70">
        <v>14.173476213241045</v>
      </c>
      <c r="I97" s="72">
        <v>47.5</v>
      </c>
      <c r="J97" s="70">
        <v>0.92279411764705799</v>
      </c>
    </row>
    <row r="98" spans="1:10" x14ac:dyDescent="0.3">
      <c r="A98" s="69">
        <v>96</v>
      </c>
      <c r="B98" s="70">
        <v>8.1</v>
      </c>
      <c r="C98" s="71">
        <v>3.385780814455868E-6</v>
      </c>
      <c r="D98" s="69">
        <v>96</v>
      </c>
      <c r="E98" s="70">
        <v>0.80000000000000204</v>
      </c>
      <c r="F98" s="70">
        <v>6.7319170915589394E-2</v>
      </c>
      <c r="G98" s="70">
        <v>19.310992430819663</v>
      </c>
      <c r="H98" s="70">
        <v>10.436852776984114</v>
      </c>
      <c r="I98" s="72">
        <v>48</v>
      </c>
      <c r="J98" s="70">
        <v>0.92279411764705799</v>
      </c>
    </row>
    <row r="99" spans="1:10" x14ac:dyDescent="0.3">
      <c r="A99" s="69">
        <v>97</v>
      </c>
      <c r="B99" s="70">
        <v>8.2999999999999989</v>
      </c>
      <c r="C99" s="71">
        <v>3.385780814455868E-6</v>
      </c>
      <c r="D99" s="69">
        <v>97</v>
      </c>
      <c r="E99" s="70">
        <v>0.60000000000000209</v>
      </c>
      <c r="F99" s="70">
        <v>9.4908995061322748E-2</v>
      </c>
      <c r="G99" s="70">
        <v>11.590050018855097</v>
      </c>
      <c r="H99" s="70">
        <v>7.9711896931955266</v>
      </c>
      <c r="I99" s="72">
        <v>48.5</v>
      </c>
      <c r="J99" s="70">
        <v>0.92279411764705799</v>
      </c>
    </row>
    <row r="100" spans="1:10" x14ac:dyDescent="0.3">
      <c r="A100" s="69">
        <v>98</v>
      </c>
      <c r="B100" s="70">
        <v>8.4999999999999982</v>
      </c>
      <c r="C100" s="71">
        <v>3.385780814455868E-6</v>
      </c>
      <c r="D100" s="69">
        <v>98</v>
      </c>
      <c r="E100" s="70">
        <v>0.40000000000000208</v>
      </c>
      <c r="F100" s="70">
        <v>0.1224988192070561</v>
      </c>
      <c r="G100" s="70">
        <v>7.3470095942619578</v>
      </c>
      <c r="H100" s="70">
        <v>6.13132942255125</v>
      </c>
      <c r="I100" s="72">
        <v>49</v>
      </c>
      <c r="J100" s="70">
        <v>0.92279411764705799</v>
      </c>
    </row>
    <row r="101" spans="1:10" x14ac:dyDescent="0.3">
      <c r="A101" s="69">
        <v>99</v>
      </c>
      <c r="B101" s="70">
        <v>8.6999999999999975</v>
      </c>
      <c r="C101" s="71">
        <v>3.385780814455868E-6</v>
      </c>
      <c r="D101" s="69">
        <v>99</v>
      </c>
      <c r="E101" s="70">
        <v>0.20000000000000207</v>
      </c>
      <c r="F101" s="70">
        <v>0.15008864335278946</v>
      </c>
      <c r="G101" s="70">
        <v>4.6639105022398235</v>
      </c>
      <c r="H101" s="70">
        <v>4.6639105022398235</v>
      </c>
      <c r="I101" s="72">
        <v>49.5</v>
      </c>
      <c r="J101" s="70">
        <v>0.92279411764705799</v>
      </c>
    </row>
    <row r="102" spans="1:10" x14ac:dyDescent="0.3">
      <c r="A102" s="69">
        <v>100</v>
      </c>
      <c r="B102" s="70">
        <v>8.8999999999999968</v>
      </c>
      <c r="C102" s="71">
        <v>3.385780814455868E-6</v>
      </c>
      <c r="D102" s="69">
        <v>100</v>
      </c>
      <c r="E102" s="70">
        <v>2.0539125955565396E-15</v>
      </c>
      <c r="F102" s="70">
        <v>0.15008864335278946</v>
      </c>
      <c r="G102" s="70">
        <v>3.3313646444570204</v>
      </c>
      <c r="H102" s="70">
        <v>3.3313646444570209</v>
      </c>
      <c r="I102" s="72">
        <v>50</v>
      </c>
      <c r="J102" s="70">
        <v>0.92279411764705799</v>
      </c>
    </row>
    <row r="103" spans="1:10" x14ac:dyDescent="0.3">
      <c r="A103" s="69">
        <v>101</v>
      </c>
      <c r="B103" s="70">
        <v>9.0999999999999961</v>
      </c>
      <c r="C103" s="71">
        <v>3.385780814455868E-6</v>
      </c>
      <c r="D103" s="69">
        <v>101</v>
      </c>
      <c r="E103" s="70">
        <v>-0.19999999999999796</v>
      </c>
      <c r="F103" s="70">
        <v>0.15008864335278946</v>
      </c>
      <c r="G103" s="70">
        <v>1.998818786674218</v>
      </c>
      <c r="H103" s="70">
        <v>1.9988187866742178</v>
      </c>
      <c r="I103" s="72">
        <v>50.5</v>
      </c>
      <c r="J103" s="70">
        <v>0.92279411764705799</v>
      </c>
    </row>
    <row r="104" spans="1:10" x14ac:dyDescent="0.3">
      <c r="A104" s="69">
        <v>102</v>
      </c>
      <c r="B104" s="70">
        <v>9.2999999999999954</v>
      </c>
      <c r="C104" s="71">
        <v>3.385780814455868E-6</v>
      </c>
      <c r="D104" s="69">
        <v>102</v>
      </c>
      <c r="E104" s="70">
        <v>-0.39999999999999797</v>
      </c>
      <c r="F104" s="70">
        <v>0.15008864335278946</v>
      </c>
      <c r="G104" s="70">
        <v>0.66627292889141498</v>
      </c>
      <c r="H104" s="70">
        <v>0.66627292889141498</v>
      </c>
      <c r="I104" s="72">
        <v>51</v>
      </c>
      <c r="J104" s="70">
        <v>0.92279411764705799</v>
      </c>
    </row>
    <row r="105" spans="1:10" x14ac:dyDescent="0.3">
      <c r="A105" s="69">
        <v>103</v>
      </c>
      <c r="B105" s="70">
        <v>9.4999999999999947</v>
      </c>
      <c r="C105" s="71">
        <v>3.385780814455868E-6</v>
      </c>
      <c r="D105" s="69">
        <v>103</v>
      </c>
      <c r="E105" s="70">
        <v>-0.5</v>
      </c>
      <c r="F105" s="70">
        <v>0.15008864335278946</v>
      </c>
      <c r="I105" s="72">
        <v>51.5</v>
      </c>
      <c r="J105" s="70">
        <v>0.92279411764705799</v>
      </c>
    </row>
    <row r="106" spans="1:10" x14ac:dyDescent="0.3">
      <c r="A106" s="69">
        <v>104</v>
      </c>
      <c r="B106" s="70">
        <v>9.699999999999994</v>
      </c>
      <c r="C106" s="71">
        <v>3.385780814455868E-6</v>
      </c>
      <c r="I106" s="72">
        <v>52</v>
      </c>
      <c r="J106" s="70">
        <v>0.92279411764705799</v>
      </c>
    </row>
    <row r="107" spans="1:10" x14ac:dyDescent="0.3">
      <c r="A107" s="69">
        <v>105</v>
      </c>
      <c r="B107" s="70">
        <v>10</v>
      </c>
      <c r="C107" s="71">
        <v>0</v>
      </c>
      <c r="I107" s="72">
        <v>52.5</v>
      </c>
      <c r="J107" s="70">
        <v>0.92279411764705799</v>
      </c>
    </row>
    <row r="108" spans="1:10" x14ac:dyDescent="0.3">
      <c r="I108" s="72">
        <v>53</v>
      </c>
      <c r="J108" s="70">
        <v>0.92279411764705799</v>
      </c>
    </row>
    <row r="109" spans="1:10" x14ac:dyDescent="0.3">
      <c r="I109" s="72">
        <v>53.5</v>
      </c>
      <c r="J109" s="70">
        <v>0.92279411764705799</v>
      </c>
    </row>
    <row r="110" spans="1:10" x14ac:dyDescent="0.3">
      <c r="I110" s="72">
        <v>54</v>
      </c>
      <c r="J110" s="70">
        <v>0.92279411764705799</v>
      </c>
    </row>
    <row r="111" spans="1:10" x14ac:dyDescent="0.3">
      <c r="I111" s="72">
        <v>54.5</v>
      </c>
      <c r="J111" s="70">
        <v>0.92279411764705799</v>
      </c>
    </row>
    <row r="112" spans="1:10" x14ac:dyDescent="0.3">
      <c r="I112" s="72">
        <v>55</v>
      </c>
      <c r="J112" s="70">
        <v>0.92279411764705799</v>
      </c>
    </row>
    <row r="113" spans="9:10" x14ac:dyDescent="0.3">
      <c r="I113" s="72">
        <v>55.5</v>
      </c>
      <c r="J113" s="70">
        <v>0.92279411764705799</v>
      </c>
    </row>
    <row r="114" spans="9:10" x14ac:dyDescent="0.3">
      <c r="I114" s="72">
        <v>56</v>
      </c>
      <c r="J114" s="70">
        <v>0.92463235294117563</v>
      </c>
    </row>
    <row r="115" spans="9:10" x14ac:dyDescent="0.3">
      <c r="I115" s="72">
        <v>56.5</v>
      </c>
      <c r="J115" s="70">
        <v>0.92463235294117563</v>
      </c>
    </row>
    <row r="116" spans="9:10" x14ac:dyDescent="0.3">
      <c r="I116" s="72">
        <v>57</v>
      </c>
      <c r="J116" s="70">
        <v>0.92463235294117563</v>
      </c>
    </row>
    <row r="117" spans="9:10" x14ac:dyDescent="0.3">
      <c r="I117" s="72">
        <v>57.5</v>
      </c>
      <c r="J117" s="70">
        <v>0.92463235294117563</v>
      </c>
    </row>
    <row r="118" spans="9:10" x14ac:dyDescent="0.3">
      <c r="I118" s="72">
        <v>58</v>
      </c>
      <c r="J118" s="70">
        <v>0.92463235294117563</v>
      </c>
    </row>
    <row r="119" spans="9:10" x14ac:dyDescent="0.3">
      <c r="I119" s="72">
        <v>58.5</v>
      </c>
      <c r="J119" s="70">
        <v>0.92463235294117563</v>
      </c>
    </row>
    <row r="120" spans="9:10" x14ac:dyDescent="0.3">
      <c r="I120" s="72">
        <v>59</v>
      </c>
      <c r="J120" s="70">
        <v>0.92463235294117563</v>
      </c>
    </row>
    <row r="121" spans="9:10" x14ac:dyDescent="0.3">
      <c r="I121" s="72">
        <v>59.5</v>
      </c>
      <c r="J121" s="70">
        <v>0.92463235294117563</v>
      </c>
    </row>
    <row r="122" spans="9:10" x14ac:dyDescent="0.3">
      <c r="I122" s="72">
        <v>60</v>
      </c>
      <c r="J122" s="70">
        <v>0.92463235294117563</v>
      </c>
    </row>
    <row r="123" spans="9:10" x14ac:dyDescent="0.3">
      <c r="I123" s="72">
        <v>60.5</v>
      </c>
      <c r="J123" s="70">
        <v>0.92463235294117563</v>
      </c>
    </row>
    <row r="124" spans="9:10" x14ac:dyDescent="0.3">
      <c r="I124" s="72">
        <v>61</v>
      </c>
      <c r="J124" s="70">
        <v>0.92463235294117563</v>
      </c>
    </row>
    <row r="125" spans="9:10" x14ac:dyDescent="0.3">
      <c r="I125" s="72">
        <v>61.5</v>
      </c>
      <c r="J125" s="70">
        <v>0.92463235294117563</v>
      </c>
    </row>
    <row r="126" spans="9:10" x14ac:dyDescent="0.3">
      <c r="I126" s="72">
        <v>62</v>
      </c>
      <c r="J126" s="70">
        <v>0.92463235294117563</v>
      </c>
    </row>
    <row r="127" spans="9:10" x14ac:dyDescent="0.3">
      <c r="I127" s="72">
        <v>62.5</v>
      </c>
      <c r="J127" s="70">
        <v>0.92463235294117563</v>
      </c>
    </row>
    <row r="128" spans="9:10" x14ac:dyDescent="0.3">
      <c r="I128" s="72">
        <v>63</v>
      </c>
      <c r="J128" s="70">
        <v>0.92463235294117563</v>
      </c>
    </row>
    <row r="129" spans="9:10" x14ac:dyDescent="0.3">
      <c r="I129" s="72">
        <v>63.5</v>
      </c>
      <c r="J129" s="70">
        <v>0.92463235294117563</v>
      </c>
    </row>
    <row r="130" spans="9:10" x14ac:dyDescent="0.3">
      <c r="I130" s="72">
        <v>64</v>
      </c>
      <c r="J130" s="70">
        <v>0.92463235294117563</v>
      </c>
    </row>
    <row r="131" spans="9:10" x14ac:dyDescent="0.3">
      <c r="I131" s="72">
        <v>64.5</v>
      </c>
      <c r="J131" s="70">
        <v>0.92463235294117563</v>
      </c>
    </row>
    <row r="132" spans="9:10" x14ac:dyDescent="0.3">
      <c r="I132" s="72">
        <v>65</v>
      </c>
      <c r="J132" s="70">
        <v>0.92463235294117563</v>
      </c>
    </row>
    <row r="133" spans="9:10" x14ac:dyDescent="0.3">
      <c r="I133" s="72">
        <v>65.5</v>
      </c>
      <c r="J133" s="70">
        <v>0.92463235294117563</v>
      </c>
    </row>
    <row r="134" spans="9:10" x14ac:dyDescent="0.3">
      <c r="I134" s="72">
        <v>66</v>
      </c>
      <c r="J134" s="70">
        <v>0.92463235294117563</v>
      </c>
    </row>
    <row r="135" spans="9:10" x14ac:dyDescent="0.3">
      <c r="I135" s="72">
        <v>66.5</v>
      </c>
      <c r="J135" s="70">
        <v>0.92463235294117563</v>
      </c>
    </row>
    <row r="136" spans="9:10" x14ac:dyDescent="0.3">
      <c r="I136" s="72">
        <v>67</v>
      </c>
      <c r="J136" s="70">
        <v>0.92463235294117563</v>
      </c>
    </row>
    <row r="137" spans="9:10" x14ac:dyDescent="0.3">
      <c r="I137" s="72">
        <v>67.5</v>
      </c>
      <c r="J137" s="70">
        <v>0.92463235294117563</v>
      </c>
    </row>
    <row r="138" spans="9:10" x14ac:dyDescent="0.3">
      <c r="I138" s="72">
        <v>68</v>
      </c>
      <c r="J138" s="70">
        <v>0.92463235294117563</v>
      </c>
    </row>
    <row r="139" spans="9:10" x14ac:dyDescent="0.3">
      <c r="I139" s="72">
        <v>68.5</v>
      </c>
      <c r="J139" s="70">
        <v>0.92463235294117563</v>
      </c>
    </row>
    <row r="140" spans="9:10" x14ac:dyDescent="0.3">
      <c r="I140" s="72">
        <v>69</v>
      </c>
      <c r="J140" s="70">
        <v>0.92463235294117563</v>
      </c>
    </row>
    <row r="141" spans="9:10" x14ac:dyDescent="0.3">
      <c r="I141" s="72">
        <v>69.5</v>
      </c>
      <c r="J141" s="70">
        <v>0.92463235294117563</v>
      </c>
    </row>
    <row r="142" spans="9:10" x14ac:dyDescent="0.3">
      <c r="I142" s="72">
        <v>70</v>
      </c>
      <c r="J142" s="70">
        <v>0.92463235294117563</v>
      </c>
    </row>
    <row r="143" spans="9:10" x14ac:dyDescent="0.3">
      <c r="I143" s="72">
        <v>70.5</v>
      </c>
      <c r="J143" s="70">
        <v>0.92463235294117563</v>
      </c>
    </row>
    <row r="144" spans="9:10" x14ac:dyDescent="0.3">
      <c r="I144" s="72">
        <v>71</v>
      </c>
      <c r="J144" s="70">
        <v>0.92463235294117563</v>
      </c>
    </row>
    <row r="145" spans="9:10" x14ac:dyDescent="0.3">
      <c r="I145" s="72">
        <v>71.5</v>
      </c>
      <c r="J145" s="70">
        <v>0.92463235294117563</v>
      </c>
    </row>
    <row r="146" spans="9:10" x14ac:dyDescent="0.3">
      <c r="I146" s="72">
        <v>72</v>
      </c>
      <c r="J146" s="70">
        <v>0.92463235294117563</v>
      </c>
    </row>
    <row r="147" spans="9:10" x14ac:dyDescent="0.3">
      <c r="I147" s="72">
        <v>72.5</v>
      </c>
      <c r="J147" s="70">
        <v>0.92463235294117563</v>
      </c>
    </row>
    <row r="148" spans="9:10" x14ac:dyDescent="0.3">
      <c r="I148" s="72">
        <v>73</v>
      </c>
      <c r="J148" s="70">
        <v>0.92463235294117563</v>
      </c>
    </row>
    <row r="149" spans="9:10" x14ac:dyDescent="0.3">
      <c r="I149" s="72">
        <v>73.5</v>
      </c>
      <c r="J149" s="70">
        <v>0.92647058823529338</v>
      </c>
    </row>
    <row r="150" spans="9:10" x14ac:dyDescent="0.3">
      <c r="I150" s="72">
        <v>74</v>
      </c>
      <c r="J150" s="70">
        <v>0.92647058823529338</v>
      </c>
    </row>
    <row r="151" spans="9:10" x14ac:dyDescent="0.3">
      <c r="I151" s="72">
        <v>74.5</v>
      </c>
      <c r="J151" s="70">
        <v>0.92647058823529338</v>
      </c>
    </row>
    <row r="152" spans="9:10" x14ac:dyDescent="0.3">
      <c r="I152" s="72">
        <v>75</v>
      </c>
      <c r="J152" s="70">
        <v>0.92647058823529338</v>
      </c>
    </row>
    <row r="153" spans="9:10" x14ac:dyDescent="0.3">
      <c r="I153" s="72">
        <v>75.5</v>
      </c>
      <c r="J153" s="70">
        <v>0.92647058823529338</v>
      </c>
    </row>
    <row r="154" spans="9:10" x14ac:dyDescent="0.3">
      <c r="I154" s="72">
        <v>76</v>
      </c>
      <c r="J154" s="70">
        <v>0.92647058823529338</v>
      </c>
    </row>
    <row r="155" spans="9:10" x14ac:dyDescent="0.3">
      <c r="I155" s="72">
        <v>76.5</v>
      </c>
      <c r="J155" s="70">
        <v>0.92647058823529338</v>
      </c>
    </row>
    <row r="156" spans="9:10" x14ac:dyDescent="0.3">
      <c r="I156" s="72">
        <v>77</v>
      </c>
      <c r="J156" s="70">
        <v>0.92647058823529338</v>
      </c>
    </row>
    <row r="157" spans="9:10" x14ac:dyDescent="0.3">
      <c r="I157" s="72">
        <v>77.5</v>
      </c>
      <c r="J157" s="70">
        <v>0.92647058823529338</v>
      </c>
    </row>
    <row r="158" spans="9:10" x14ac:dyDescent="0.3">
      <c r="I158" s="72">
        <v>78</v>
      </c>
      <c r="J158" s="70">
        <v>0.92647058823529338</v>
      </c>
    </row>
    <row r="159" spans="9:10" x14ac:dyDescent="0.3">
      <c r="I159" s="72">
        <v>78.5</v>
      </c>
      <c r="J159" s="70">
        <v>0.92647058823529338</v>
      </c>
    </row>
    <row r="160" spans="9:10" x14ac:dyDescent="0.3">
      <c r="I160" s="72">
        <v>79</v>
      </c>
      <c r="J160" s="70">
        <v>0.92647058823529338</v>
      </c>
    </row>
    <row r="161" spans="9:10" x14ac:dyDescent="0.3">
      <c r="I161" s="72">
        <v>79.5</v>
      </c>
      <c r="J161" s="70">
        <v>0.92647058823529338</v>
      </c>
    </row>
    <row r="162" spans="9:10" x14ac:dyDescent="0.3">
      <c r="I162" s="72">
        <v>80</v>
      </c>
      <c r="J162" s="70">
        <v>0.92647058823529338</v>
      </c>
    </row>
    <row r="163" spans="9:10" x14ac:dyDescent="0.3">
      <c r="I163" s="72">
        <v>80.5</v>
      </c>
      <c r="J163" s="70">
        <v>0.92647058823529338</v>
      </c>
    </row>
    <row r="164" spans="9:10" x14ac:dyDescent="0.3">
      <c r="I164" s="72">
        <v>81</v>
      </c>
      <c r="J164" s="70">
        <v>0.92647058823529338</v>
      </c>
    </row>
    <row r="165" spans="9:10" x14ac:dyDescent="0.3">
      <c r="I165" s="72">
        <v>81.5</v>
      </c>
      <c r="J165" s="70">
        <v>0.92647058823529338</v>
      </c>
    </row>
    <row r="166" spans="9:10" x14ac:dyDescent="0.3">
      <c r="I166" s="72">
        <v>82</v>
      </c>
      <c r="J166" s="70">
        <v>0.92647058823529338</v>
      </c>
    </row>
    <row r="167" spans="9:10" x14ac:dyDescent="0.3">
      <c r="I167" s="72">
        <v>82.5</v>
      </c>
      <c r="J167" s="70">
        <v>0.92647058823529338</v>
      </c>
    </row>
    <row r="168" spans="9:10" x14ac:dyDescent="0.3">
      <c r="I168" s="72">
        <v>83</v>
      </c>
      <c r="J168" s="70">
        <v>0.92647058823529338</v>
      </c>
    </row>
    <row r="169" spans="9:10" x14ac:dyDescent="0.3">
      <c r="I169" s="72">
        <v>83.5</v>
      </c>
      <c r="J169" s="70">
        <v>0.92647058823529338</v>
      </c>
    </row>
    <row r="170" spans="9:10" x14ac:dyDescent="0.3">
      <c r="I170" s="72">
        <v>84</v>
      </c>
      <c r="J170" s="70">
        <v>0.92647058823529338</v>
      </c>
    </row>
    <row r="171" spans="9:10" x14ac:dyDescent="0.3">
      <c r="I171" s="72">
        <v>84.5</v>
      </c>
      <c r="J171" s="70">
        <v>0.92647058823529338</v>
      </c>
    </row>
    <row r="172" spans="9:10" x14ac:dyDescent="0.3">
      <c r="I172" s="72">
        <v>85</v>
      </c>
      <c r="J172" s="70">
        <v>0.92647058823529338</v>
      </c>
    </row>
    <row r="173" spans="9:10" x14ac:dyDescent="0.3">
      <c r="I173" s="72">
        <v>85.5</v>
      </c>
      <c r="J173" s="70">
        <v>0.92647058823529338</v>
      </c>
    </row>
    <row r="174" spans="9:10" x14ac:dyDescent="0.3">
      <c r="I174" s="72">
        <v>86</v>
      </c>
      <c r="J174" s="70">
        <v>0.92647058823529338</v>
      </c>
    </row>
    <row r="175" spans="9:10" x14ac:dyDescent="0.3">
      <c r="I175" s="72">
        <v>86.5</v>
      </c>
      <c r="J175" s="70">
        <v>0.92647058823529338</v>
      </c>
    </row>
    <row r="176" spans="9:10" x14ac:dyDescent="0.3">
      <c r="I176" s="72">
        <v>87</v>
      </c>
      <c r="J176" s="70">
        <v>0.92647058823529338</v>
      </c>
    </row>
    <row r="177" spans="9:10" x14ac:dyDescent="0.3">
      <c r="I177" s="72">
        <v>87.5</v>
      </c>
      <c r="J177" s="70">
        <v>0.92647058823529338</v>
      </c>
    </row>
    <row r="178" spans="9:10" x14ac:dyDescent="0.3">
      <c r="I178" s="72">
        <v>88</v>
      </c>
      <c r="J178" s="70">
        <v>0.92647058823529338</v>
      </c>
    </row>
    <row r="179" spans="9:10" x14ac:dyDescent="0.3">
      <c r="I179" s="72">
        <v>88.5</v>
      </c>
      <c r="J179" s="70">
        <v>0.92647058823529338</v>
      </c>
    </row>
    <row r="180" spans="9:10" x14ac:dyDescent="0.3">
      <c r="I180" s="72">
        <v>89</v>
      </c>
      <c r="J180" s="70">
        <v>0.92647058823529338</v>
      </c>
    </row>
    <row r="181" spans="9:10" x14ac:dyDescent="0.3">
      <c r="I181" s="72">
        <v>89.5</v>
      </c>
      <c r="J181" s="70">
        <v>0.92647058823529338</v>
      </c>
    </row>
    <row r="182" spans="9:10" x14ac:dyDescent="0.3">
      <c r="I182" s="72">
        <v>90</v>
      </c>
      <c r="J182" s="70">
        <v>0.92647058823529338</v>
      </c>
    </row>
    <row r="183" spans="9:10" x14ac:dyDescent="0.3">
      <c r="I183" s="72">
        <v>90.5</v>
      </c>
      <c r="J183" s="70">
        <v>0.92647058823529338</v>
      </c>
    </row>
    <row r="184" spans="9:10" x14ac:dyDescent="0.3">
      <c r="I184" s="72">
        <v>91</v>
      </c>
      <c r="J184" s="70">
        <v>0.92830882352941102</v>
      </c>
    </row>
    <row r="185" spans="9:10" x14ac:dyDescent="0.3">
      <c r="I185" s="72">
        <v>91.5</v>
      </c>
      <c r="J185" s="70">
        <v>0.92830882352941102</v>
      </c>
    </row>
    <row r="186" spans="9:10" x14ac:dyDescent="0.3">
      <c r="I186" s="72">
        <v>92</v>
      </c>
      <c r="J186" s="70">
        <v>0.92830882352941102</v>
      </c>
    </row>
    <row r="187" spans="9:10" x14ac:dyDescent="0.3">
      <c r="I187" s="72">
        <v>92.5</v>
      </c>
      <c r="J187" s="70">
        <v>0.92830882352941102</v>
      </c>
    </row>
    <row r="188" spans="9:10" x14ac:dyDescent="0.3">
      <c r="I188" s="72">
        <v>93</v>
      </c>
      <c r="J188" s="70">
        <v>0.92830882352941102</v>
      </c>
    </row>
    <row r="189" spans="9:10" x14ac:dyDescent="0.3">
      <c r="I189" s="72">
        <v>93.5</v>
      </c>
      <c r="J189" s="70">
        <v>0.92830882352941102</v>
      </c>
    </row>
    <row r="190" spans="9:10" x14ac:dyDescent="0.3">
      <c r="I190" s="72">
        <v>94</v>
      </c>
      <c r="J190" s="70">
        <v>0.92830882352941102</v>
      </c>
    </row>
    <row r="191" spans="9:10" x14ac:dyDescent="0.3">
      <c r="I191" s="72">
        <v>94.5</v>
      </c>
      <c r="J191" s="70">
        <v>0.92830882352941102</v>
      </c>
    </row>
    <row r="192" spans="9:10" x14ac:dyDescent="0.3">
      <c r="I192" s="72">
        <v>95</v>
      </c>
      <c r="J192" s="70">
        <v>0.92830882352941102</v>
      </c>
    </row>
    <row r="193" spans="9:10" x14ac:dyDescent="0.3">
      <c r="I193" s="72">
        <v>95.5</v>
      </c>
      <c r="J193" s="70">
        <v>0.92830882352941102</v>
      </c>
    </row>
    <row r="194" spans="9:10" x14ac:dyDescent="0.3">
      <c r="I194" s="72">
        <v>96</v>
      </c>
      <c r="J194" s="70">
        <v>0.92830882352941102</v>
      </c>
    </row>
    <row r="195" spans="9:10" x14ac:dyDescent="0.3">
      <c r="I195" s="72">
        <v>96.5</v>
      </c>
      <c r="J195" s="70">
        <v>0.92830882352941102</v>
      </c>
    </row>
    <row r="196" spans="9:10" x14ac:dyDescent="0.3">
      <c r="I196" s="72">
        <v>97</v>
      </c>
      <c r="J196" s="70">
        <v>0.92830882352941102</v>
      </c>
    </row>
    <row r="197" spans="9:10" x14ac:dyDescent="0.3">
      <c r="I197" s="72">
        <v>97.5</v>
      </c>
      <c r="J197" s="70">
        <v>0.92830882352941102</v>
      </c>
    </row>
    <row r="198" spans="9:10" x14ac:dyDescent="0.3">
      <c r="I198" s="72">
        <v>98</v>
      </c>
      <c r="J198" s="70">
        <v>0.92830882352941102</v>
      </c>
    </row>
    <row r="199" spans="9:10" x14ac:dyDescent="0.3">
      <c r="I199" s="72">
        <v>98.5</v>
      </c>
      <c r="J199" s="70">
        <v>0.92830882352941102</v>
      </c>
    </row>
    <row r="200" spans="9:10" x14ac:dyDescent="0.3">
      <c r="I200" s="72">
        <v>99</v>
      </c>
      <c r="J200" s="70">
        <v>0.92830882352941102</v>
      </c>
    </row>
    <row r="201" spans="9:10" x14ac:dyDescent="0.3">
      <c r="I201" s="72">
        <v>99.5</v>
      </c>
      <c r="J201" s="70">
        <v>0.92830882352941102</v>
      </c>
    </row>
    <row r="202" spans="9:10" x14ac:dyDescent="0.3">
      <c r="I202" s="72">
        <v>100</v>
      </c>
      <c r="J202" s="70">
        <v>0.92830882352941102</v>
      </c>
    </row>
    <row r="203" spans="9:10" x14ac:dyDescent="0.3">
      <c r="I203" s="72">
        <v>100.5</v>
      </c>
      <c r="J203" s="70">
        <v>0.92830882352941102</v>
      </c>
    </row>
    <row r="204" spans="9:10" x14ac:dyDescent="0.3">
      <c r="I204" s="72">
        <v>101</v>
      </c>
      <c r="J204" s="70">
        <v>0.92830882352941102</v>
      </c>
    </row>
    <row r="205" spans="9:10" x14ac:dyDescent="0.3">
      <c r="I205" s="72">
        <v>101.5</v>
      </c>
      <c r="J205" s="70">
        <v>0.92830882352941102</v>
      </c>
    </row>
    <row r="206" spans="9:10" x14ac:dyDescent="0.3">
      <c r="I206" s="72">
        <v>102</v>
      </c>
      <c r="J206" s="70">
        <v>0.92830882352941102</v>
      </c>
    </row>
    <row r="207" spans="9:10" x14ac:dyDescent="0.3">
      <c r="I207" s="72">
        <v>102.5</v>
      </c>
      <c r="J207" s="70">
        <v>0.92830882352941102</v>
      </c>
    </row>
    <row r="208" spans="9:10" x14ac:dyDescent="0.3">
      <c r="I208" s="72">
        <v>103</v>
      </c>
      <c r="J208" s="70">
        <v>0.92830882352941102</v>
      </c>
    </row>
    <row r="209" spans="9:10" x14ac:dyDescent="0.3">
      <c r="I209" s="72">
        <v>103.5</v>
      </c>
      <c r="J209" s="70">
        <v>0.92830882352941102</v>
      </c>
    </row>
    <row r="210" spans="9:10" x14ac:dyDescent="0.3">
      <c r="I210" s="72">
        <v>104</v>
      </c>
      <c r="J210" s="70">
        <v>0.92830882352941102</v>
      </c>
    </row>
    <row r="211" spans="9:10" x14ac:dyDescent="0.3">
      <c r="I211" s="72">
        <v>104.5</v>
      </c>
      <c r="J211" s="70">
        <v>0.92830882352941102</v>
      </c>
    </row>
    <row r="212" spans="9:10" x14ac:dyDescent="0.3">
      <c r="I212" s="72">
        <v>105</v>
      </c>
      <c r="J212" s="70">
        <v>0.92830882352941102</v>
      </c>
    </row>
    <row r="213" spans="9:10" x14ac:dyDescent="0.3">
      <c r="I213" s="72">
        <v>105.5</v>
      </c>
      <c r="J213" s="70">
        <v>0.92830882352941102</v>
      </c>
    </row>
    <row r="214" spans="9:10" x14ac:dyDescent="0.3">
      <c r="I214" s="72">
        <v>106</v>
      </c>
      <c r="J214" s="70">
        <v>0.92830882352941102</v>
      </c>
    </row>
    <row r="215" spans="9:10" x14ac:dyDescent="0.3">
      <c r="I215" s="72">
        <v>106.5</v>
      </c>
      <c r="J215" s="70">
        <v>0.92830882352941102</v>
      </c>
    </row>
    <row r="216" spans="9:10" x14ac:dyDescent="0.3">
      <c r="I216" s="72">
        <v>107</v>
      </c>
      <c r="J216" s="70">
        <v>0.92830882352941102</v>
      </c>
    </row>
    <row r="217" spans="9:10" x14ac:dyDescent="0.3">
      <c r="I217" s="72">
        <v>107.5</v>
      </c>
      <c r="J217" s="70">
        <v>0.92830882352941102</v>
      </c>
    </row>
    <row r="218" spans="9:10" x14ac:dyDescent="0.3">
      <c r="I218" s="72">
        <v>108</v>
      </c>
      <c r="J218" s="70">
        <v>0.92830882352941102</v>
      </c>
    </row>
    <row r="219" spans="9:10" x14ac:dyDescent="0.3">
      <c r="I219" s="72">
        <v>108.5</v>
      </c>
      <c r="J219" s="70">
        <v>0.92830882352941102</v>
      </c>
    </row>
    <row r="220" spans="9:10" x14ac:dyDescent="0.3">
      <c r="I220" s="72">
        <v>109</v>
      </c>
      <c r="J220" s="70">
        <v>0.92830882352941102</v>
      </c>
    </row>
    <row r="221" spans="9:10" x14ac:dyDescent="0.3">
      <c r="I221" s="72">
        <v>109.5</v>
      </c>
      <c r="J221" s="70">
        <v>0.93014705882352866</v>
      </c>
    </row>
    <row r="222" spans="9:10" x14ac:dyDescent="0.3">
      <c r="I222" s="72">
        <v>110</v>
      </c>
      <c r="J222" s="70">
        <v>0.93014705882352866</v>
      </c>
    </row>
    <row r="223" spans="9:10" x14ac:dyDescent="0.3">
      <c r="I223" s="72">
        <v>110.5</v>
      </c>
      <c r="J223" s="70">
        <v>0.93014705882352866</v>
      </c>
    </row>
    <row r="224" spans="9:10" x14ac:dyDescent="0.3">
      <c r="I224" s="72">
        <v>111</v>
      </c>
      <c r="J224" s="70">
        <v>0.93014705882352866</v>
      </c>
    </row>
    <row r="225" spans="9:10" x14ac:dyDescent="0.3">
      <c r="I225" s="72">
        <v>111.5</v>
      </c>
      <c r="J225" s="70">
        <v>0.93014705882352866</v>
      </c>
    </row>
    <row r="226" spans="9:10" x14ac:dyDescent="0.3">
      <c r="I226" s="72">
        <v>112</v>
      </c>
      <c r="J226" s="70">
        <v>0.93014705882352866</v>
      </c>
    </row>
    <row r="227" spans="9:10" x14ac:dyDescent="0.3">
      <c r="I227" s="72">
        <v>112.5</v>
      </c>
      <c r="J227" s="70">
        <v>0.93014705882352866</v>
      </c>
    </row>
    <row r="228" spans="9:10" x14ac:dyDescent="0.3">
      <c r="I228" s="72">
        <v>113</v>
      </c>
      <c r="J228" s="70">
        <v>0.93014705882352866</v>
      </c>
    </row>
    <row r="229" spans="9:10" x14ac:dyDescent="0.3">
      <c r="I229" s="72">
        <v>113.5</v>
      </c>
      <c r="J229" s="70">
        <v>0.93014705882352866</v>
      </c>
    </row>
    <row r="230" spans="9:10" x14ac:dyDescent="0.3">
      <c r="I230" s="72">
        <v>114</v>
      </c>
      <c r="J230" s="70">
        <v>0.93014705882352866</v>
      </c>
    </row>
    <row r="231" spans="9:10" x14ac:dyDescent="0.3">
      <c r="I231" s="72">
        <v>114.5</v>
      </c>
      <c r="J231" s="70">
        <v>0.93014705882352866</v>
      </c>
    </row>
    <row r="232" spans="9:10" x14ac:dyDescent="0.3">
      <c r="I232" s="72">
        <v>115</v>
      </c>
      <c r="J232" s="70">
        <v>0.93014705882352866</v>
      </c>
    </row>
    <row r="233" spans="9:10" x14ac:dyDescent="0.3">
      <c r="I233" s="72">
        <v>115.5</v>
      </c>
      <c r="J233" s="70">
        <v>0.93014705882352866</v>
      </c>
    </row>
    <row r="234" spans="9:10" x14ac:dyDescent="0.3">
      <c r="I234" s="72">
        <v>116</v>
      </c>
      <c r="J234" s="70">
        <v>0.93014705882352866</v>
      </c>
    </row>
    <row r="235" spans="9:10" x14ac:dyDescent="0.3">
      <c r="I235" s="72">
        <v>116.5</v>
      </c>
      <c r="J235" s="70">
        <v>0.93014705882352866</v>
      </c>
    </row>
    <row r="236" spans="9:10" x14ac:dyDescent="0.3">
      <c r="I236" s="72">
        <v>117</v>
      </c>
      <c r="J236" s="70">
        <v>0.93014705882352866</v>
      </c>
    </row>
    <row r="237" spans="9:10" x14ac:dyDescent="0.3">
      <c r="I237" s="72">
        <v>117.5</v>
      </c>
      <c r="J237" s="70">
        <v>0.93014705882352866</v>
      </c>
    </row>
    <row r="238" spans="9:10" x14ac:dyDescent="0.3">
      <c r="I238" s="72">
        <v>118</v>
      </c>
      <c r="J238" s="70">
        <v>0.93014705882352866</v>
      </c>
    </row>
    <row r="239" spans="9:10" x14ac:dyDescent="0.3">
      <c r="I239" s="72">
        <v>118.5</v>
      </c>
      <c r="J239" s="70">
        <v>0.93014705882352866</v>
      </c>
    </row>
    <row r="240" spans="9:10" x14ac:dyDescent="0.3">
      <c r="I240" s="72">
        <v>119</v>
      </c>
      <c r="J240" s="70">
        <v>0.93014705882352866</v>
      </c>
    </row>
    <row r="241" spans="9:10" x14ac:dyDescent="0.3">
      <c r="I241" s="72">
        <v>119.5</v>
      </c>
      <c r="J241" s="70">
        <v>0.93014705882352866</v>
      </c>
    </row>
    <row r="242" spans="9:10" x14ac:dyDescent="0.3">
      <c r="I242" s="72">
        <v>120</v>
      </c>
      <c r="J242" s="70">
        <v>0.93014705882352866</v>
      </c>
    </row>
    <row r="243" spans="9:10" x14ac:dyDescent="0.3">
      <c r="I243" s="72">
        <v>120.5</v>
      </c>
      <c r="J243" s="70">
        <v>0.93014705882352866</v>
      </c>
    </row>
    <row r="244" spans="9:10" x14ac:dyDescent="0.3">
      <c r="I244" s="72">
        <v>121</v>
      </c>
      <c r="J244" s="70">
        <v>0.93014705882352866</v>
      </c>
    </row>
    <row r="245" spans="9:10" x14ac:dyDescent="0.3">
      <c r="I245" s="72">
        <v>121.5</v>
      </c>
      <c r="J245" s="70">
        <v>0.93014705882352866</v>
      </c>
    </row>
    <row r="246" spans="9:10" x14ac:dyDescent="0.3">
      <c r="I246" s="72">
        <v>122</v>
      </c>
      <c r="J246" s="70">
        <v>0.93014705882352866</v>
      </c>
    </row>
    <row r="247" spans="9:10" x14ac:dyDescent="0.3">
      <c r="I247" s="72">
        <v>122.5</v>
      </c>
      <c r="J247" s="70">
        <v>0.93014705882352866</v>
      </c>
    </row>
    <row r="248" spans="9:10" x14ac:dyDescent="0.3">
      <c r="I248" s="72">
        <v>123</v>
      </c>
      <c r="J248" s="70">
        <v>0.93014705882352866</v>
      </c>
    </row>
    <row r="249" spans="9:10" x14ac:dyDescent="0.3">
      <c r="I249" s="72">
        <v>123.5</v>
      </c>
      <c r="J249" s="70">
        <v>0.93014705882352866</v>
      </c>
    </row>
    <row r="250" spans="9:10" x14ac:dyDescent="0.3">
      <c r="I250" s="72">
        <v>124</v>
      </c>
      <c r="J250" s="70">
        <v>0.93014705882352866</v>
      </c>
    </row>
    <row r="251" spans="9:10" x14ac:dyDescent="0.3">
      <c r="I251" s="72">
        <v>124.5</v>
      </c>
      <c r="J251" s="70">
        <v>0.93014705882352866</v>
      </c>
    </row>
    <row r="252" spans="9:10" x14ac:dyDescent="0.3">
      <c r="I252" s="72">
        <v>125</v>
      </c>
      <c r="J252" s="70">
        <v>0.93014705882352866</v>
      </c>
    </row>
    <row r="253" spans="9:10" x14ac:dyDescent="0.3">
      <c r="I253" s="72">
        <v>125.5</v>
      </c>
      <c r="J253" s="70">
        <v>0.93014705882352866</v>
      </c>
    </row>
    <row r="254" spans="9:10" x14ac:dyDescent="0.3">
      <c r="I254" s="72">
        <v>126</v>
      </c>
      <c r="J254" s="70">
        <v>0.93014705882352866</v>
      </c>
    </row>
    <row r="255" spans="9:10" x14ac:dyDescent="0.3">
      <c r="I255" s="72">
        <v>126.5</v>
      </c>
      <c r="J255" s="70">
        <v>0.93014705882352866</v>
      </c>
    </row>
    <row r="256" spans="9:10" x14ac:dyDescent="0.3">
      <c r="I256" s="72">
        <v>127</v>
      </c>
      <c r="J256" s="70">
        <v>0.93014705882352866</v>
      </c>
    </row>
    <row r="257" spans="9:10" x14ac:dyDescent="0.3">
      <c r="I257" s="72">
        <v>127.5</v>
      </c>
      <c r="J257" s="70">
        <v>0.93014705882352866</v>
      </c>
    </row>
    <row r="258" spans="9:10" x14ac:dyDescent="0.3">
      <c r="I258" s="72">
        <v>128</v>
      </c>
      <c r="J258" s="70">
        <v>0.93014705882352866</v>
      </c>
    </row>
    <row r="259" spans="9:10" x14ac:dyDescent="0.3">
      <c r="I259" s="72">
        <v>128.5</v>
      </c>
      <c r="J259" s="70">
        <v>0.9319852941176463</v>
      </c>
    </row>
    <row r="260" spans="9:10" x14ac:dyDescent="0.3">
      <c r="I260" s="72">
        <v>129</v>
      </c>
      <c r="J260" s="70">
        <v>0.9319852941176463</v>
      </c>
    </row>
    <row r="261" spans="9:10" x14ac:dyDescent="0.3">
      <c r="I261" s="72">
        <v>129.5</v>
      </c>
      <c r="J261" s="70">
        <v>0.9319852941176463</v>
      </c>
    </row>
    <row r="262" spans="9:10" x14ac:dyDescent="0.3">
      <c r="I262" s="72">
        <v>130</v>
      </c>
      <c r="J262" s="70">
        <v>0.9319852941176463</v>
      </c>
    </row>
    <row r="263" spans="9:10" x14ac:dyDescent="0.3">
      <c r="I263" s="72">
        <v>130.5</v>
      </c>
      <c r="J263" s="70">
        <v>0.9319852941176463</v>
      </c>
    </row>
    <row r="264" spans="9:10" x14ac:dyDescent="0.3">
      <c r="I264" s="72">
        <v>131</v>
      </c>
      <c r="J264" s="70">
        <v>0.9319852941176463</v>
      </c>
    </row>
    <row r="265" spans="9:10" x14ac:dyDescent="0.3">
      <c r="I265" s="72">
        <v>131.5</v>
      </c>
      <c r="J265" s="70">
        <v>0.9319852941176463</v>
      </c>
    </row>
    <row r="266" spans="9:10" x14ac:dyDescent="0.3">
      <c r="I266" s="72">
        <v>132</v>
      </c>
      <c r="J266" s="70">
        <v>0.9319852941176463</v>
      </c>
    </row>
    <row r="267" spans="9:10" x14ac:dyDescent="0.3">
      <c r="I267" s="72">
        <v>132.5</v>
      </c>
      <c r="J267" s="70">
        <v>0.9319852941176463</v>
      </c>
    </row>
    <row r="268" spans="9:10" x14ac:dyDescent="0.3">
      <c r="I268" s="72">
        <v>133</v>
      </c>
      <c r="J268" s="70">
        <v>0.9319852941176463</v>
      </c>
    </row>
    <row r="269" spans="9:10" x14ac:dyDescent="0.3">
      <c r="I269" s="72">
        <v>133.5</v>
      </c>
      <c r="J269" s="70">
        <v>0.9319852941176463</v>
      </c>
    </row>
    <row r="270" spans="9:10" x14ac:dyDescent="0.3">
      <c r="I270" s="72">
        <v>134</v>
      </c>
      <c r="J270" s="70">
        <v>0.9319852941176463</v>
      </c>
    </row>
    <row r="271" spans="9:10" x14ac:dyDescent="0.3">
      <c r="I271" s="72">
        <v>134.5</v>
      </c>
      <c r="J271" s="70">
        <v>0.9319852941176463</v>
      </c>
    </row>
    <row r="272" spans="9:10" x14ac:dyDescent="0.3">
      <c r="I272" s="72">
        <v>135</v>
      </c>
      <c r="J272" s="70">
        <v>0.9319852941176463</v>
      </c>
    </row>
    <row r="273" spans="9:10" x14ac:dyDescent="0.3">
      <c r="I273" s="72">
        <v>135.5</v>
      </c>
      <c r="J273" s="70">
        <v>0.9319852941176463</v>
      </c>
    </row>
    <row r="274" spans="9:10" x14ac:dyDescent="0.3">
      <c r="I274" s="72">
        <v>136</v>
      </c>
      <c r="J274" s="70">
        <v>0.9319852941176463</v>
      </c>
    </row>
    <row r="275" spans="9:10" x14ac:dyDescent="0.3">
      <c r="I275" s="72">
        <v>136.5</v>
      </c>
      <c r="J275" s="70">
        <v>0.9319852941176463</v>
      </c>
    </row>
    <row r="276" spans="9:10" x14ac:dyDescent="0.3">
      <c r="I276" s="72">
        <v>137</v>
      </c>
      <c r="J276" s="70">
        <v>0.9319852941176463</v>
      </c>
    </row>
    <row r="277" spans="9:10" x14ac:dyDescent="0.3">
      <c r="I277" s="72">
        <v>137.5</v>
      </c>
      <c r="J277" s="70">
        <v>0.9319852941176463</v>
      </c>
    </row>
    <row r="278" spans="9:10" x14ac:dyDescent="0.3">
      <c r="I278" s="72">
        <v>138</v>
      </c>
      <c r="J278" s="70">
        <v>0.9319852941176463</v>
      </c>
    </row>
    <row r="279" spans="9:10" x14ac:dyDescent="0.3">
      <c r="I279" s="72">
        <v>138.5</v>
      </c>
      <c r="J279" s="70">
        <v>0.9319852941176463</v>
      </c>
    </row>
    <row r="280" spans="9:10" x14ac:dyDescent="0.3">
      <c r="I280" s="72">
        <v>139</v>
      </c>
      <c r="J280" s="70">
        <v>0.9319852941176463</v>
      </c>
    </row>
    <row r="281" spans="9:10" x14ac:dyDescent="0.3">
      <c r="I281" s="72">
        <v>139.5</v>
      </c>
      <c r="J281" s="70">
        <v>0.9319852941176463</v>
      </c>
    </row>
    <row r="282" spans="9:10" x14ac:dyDescent="0.3">
      <c r="I282" s="72">
        <v>140</v>
      </c>
      <c r="J282" s="70">
        <v>0.9319852941176463</v>
      </c>
    </row>
    <row r="283" spans="9:10" x14ac:dyDescent="0.3">
      <c r="I283" s="72">
        <v>140.5</v>
      </c>
      <c r="J283" s="70">
        <v>0.9319852941176463</v>
      </c>
    </row>
    <row r="284" spans="9:10" x14ac:dyDescent="0.3">
      <c r="I284" s="72">
        <v>141</v>
      </c>
      <c r="J284" s="70">
        <v>0.9319852941176463</v>
      </c>
    </row>
    <row r="285" spans="9:10" x14ac:dyDescent="0.3">
      <c r="I285" s="72">
        <v>141.5</v>
      </c>
      <c r="J285" s="70">
        <v>0.9319852941176463</v>
      </c>
    </row>
    <row r="286" spans="9:10" x14ac:dyDescent="0.3">
      <c r="I286" s="72">
        <v>142</v>
      </c>
      <c r="J286" s="70">
        <v>0.9319852941176463</v>
      </c>
    </row>
    <row r="287" spans="9:10" x14ac:dyDescent="0.3">
      <c r="I287" s="72">
        <v>142.5</v>
      </c>
      <c r="J287" s="70">
        <v>0.9319852941176463</v>
      </c>
    </row>
    <row r="288" spans="9:10" x14ac:dyDescent="0.3">
      <c r="I288" s="72">
        <v>143</v>
      </c>
      <c r="J288" s="70">
        <v>0.9319852941176463</v>
      </c>
    </row>
    <row r="289" spans="9:10" x14ac:dyDescent="0.3">
      <c r="I289" s="72">
        <v>143.5</v>
      </c>
      <c r="J289" s="70">
        <v>0.9319852941176463</v>
      </c>
    </row>
    <row r="290" spans="9:10" x14ac:dyDescent="0.3">
      <c r="I290" s="72">
        <v>144</v>
      </c>
      <c r="J290" s="70">
        <v>0.9319852941176463</v>
      </c>
    </row>
    <row r="291" spans="9:10" x14ac:dyDescent="0.3">
      <c r="I291" s="72">
        <v>144.5</v>
      </c>
      <c r="J291" s="70">
        <v>0.9319852941176463</v>
      </c>
    </row>
    <row r="292" spans="9:10" x14ac:dyDescent="0.3">
      <c r="I292" s="72">
        <v>145</v>
      </c>
      <c r="J292" s="70">
        <v>0.9319852941176463</v>
      </c>
    </row>
    <row r="293" spans="9:10" x14ac:dyDescent="0.3">
      <c r="I293" s="72">
        <v>145.5</v>
      </c>
      <c r="J293" s="70">
        <v>0.9319852941176463</v>
      </c>
    </row>
    <row r="294" spans="9:10" x14ac:dyDescent="0.3">
      <c r="I294" s="72">
        <v>146</v>
      </c>
      <c r="J294" s="70">
        <v>0.9319852941176463</v>
      </c>
    </row>
    <row r="295" spans="9:10" x14ac:dyDescent="0.3">
      <c r="I295" s="72">
        <v>146.5</v>
      </c>
      <c r="J295" s="70">
        <v>0.9319852941176463</v>
      </c>
    </row>
    <row r="296" spans="9:10" x14ac:dyDescent="0.3">
      <c r="I296" s="72">
        <v>147</v>
      </c>
      <c r="J296" s="70">
        <v>0.9319852941176463</v>
      </c>
    </row>
    <row r="297" spans="9:10" x14ac:dyDescent="0.3">
      <c r="I297" s="72">
        <v>147.5</v>
      </c>
      <c r="J297" s="70">
        <v>0.93382352941176405</v>
      </c>
    </row>
    <row r="298" spans="9:10" x14ac:dyDescent="0.3">
      <c r="I298" s="72">
        <v>148</v>
      </c>
      <c r="J298" s="70">
        <v>0.93382352941176405</v>
      </c>
    </row>
    <row r="299" spans="9:10" x14ac:dyDescent="0.3">
      <c r="I299" s="72">
        <v>148.5</v>
      </c>
      <c r="J299" s="70">
        <v>0.93382352941176405</v>
      </c>
    </row>
    <row r="300" spans="9:10" x14ac:dyDescent="0.3">
      <c r="I300" s="72">
        <v>149</v>
      </c>
      <c r="J300" s="70">
        <v>0.93382352941176405</v>
      </c>
    </row>
    <row r="301" spans="9:10" x14ac:dyDescent="0.3">
      <c r="I301" s="72">
        <v>149.5</v>
      </c>
      <c r="J301" s="70">
        <v>0.93382352941176405</v>
      </c>
    </row>
    <row r="302" spans="9:10" x14ac:dyDescent="0.3">
      <c r="I302" s="72">
        <v>150</v>
      </c>
      <c r="J302" s="70">
        <v>0.93382352941176405</v>
      </c>
    </row>
    <row r="303" spans="9:10" x14ac:dyDescent="0.3">
      <c r="I303" s="72">
        <v>150.5</v>
      </c>
      <c r="J303" s="70">
        <v>0.93382352941176405</v>
      </c>
    </row>
    <row r="304" spans="9:10" x14ac:dyDescent="0.3">
      <c r="I304" s="72">
        <v>151</v>
      </c>
      <c r="J304" s="70">
        <v>0.93382352941176405</v>
      </c>
    </row>
    <row r="305" spans="9:10" x14ac:dyDescent="0.3">
      <c r="I305" s="72">
        <v>151.5</v>
      </c>
      <c r="J305" s="70">
        <v>0.93382352941176405</v>
      </c>
    </row>
    <row r="306" spans="9:10" x14ac:dyDescent="0.3">
      <c r="I306" s="72">
        <v>152</v>
      </c>
      <c r="J306" s="70">
        <v>0.93382352941176405</v>
      </c>
    </row>
    <row r="307" spans="9:10" x14ac:dyDescent="0.3">
      <c r="I307" s="72">
        <v>152.5</v>
      </c>
      <c r="J307" s="70">
        <v>0.93382352941176405</v>
      </c>
    </row>
    <row r="308" spans="9:10" x14ac:dyDescent="0.3">
      <c r="I308" s="72">
        <v>153</v>
      </c>
      <c r="J308" s="70">
        <v>0.93382352941176405</v>
      </c>
    </row>
    <row r="309" spans="9:10" x14ac:dyDescent="0.3">
      <c r="I309" s="72">
        <v>153.5</v>
      </c>
      <c r="J309" s="70">
        <v>0.93382352941176405</v>
      </c>
    </row>
    <row r="310" spans="9:10" x14ac:dyDescent="0.3">
      <c r="I310" s="72">
        <v>154</v>
      </c>
      <c r="J310" s="70">
        <v>0.93382352941176405</v>
      </c>
    </row>
    <row r="311" spans="9:10" x14ac:dyDescent="0.3">
      <c r="I311" s="72">
        <v>154.5</v>
      </c>
      <c r="J311" s="70">
        <v>0.93382352941176405</v>
      </c>
    </row>
    <row r="312" spans="9:10" x14ac:dyDescent="0.3">
      <c r="I312" s="72">
        <v>155</v>
      </c>
      <c r="J312" s="70">
        <v>0.93382352941176405</v>
      </c>
    </row>
    <row r="313" spans="9:10" x14ac:dyDescent="0.3">
      <c r="I313" s="72">
        <v>155.5</v>
      </c>
      <c r="J313" s="70">
        <v>0.93382352941176405</v>
      </c>
    </row>
    <row r="314" spans="9:10" x14ac:dyDescent="0.3">
      <c r="I314" s="72">
        <v>156</v>
      </c>
      <c r="J314" s="70">
        <v>0.93382352941176405</v>
      </c>
    </row>
    <row r="315" spans="9:10" x14ac:dyDescent="0.3">
      <c r="I315" s="72">
        <v>156.5</v>
      </c>
      <c r="J315" s="70">
        <v>0.93382352941176405</v>
      </c>
    </row>
    <row r="316" spans="9:10" x14ac:dyDescent="0.3">
      <c r="I316" s="72">
        <v>157</v>
      </c>
      <c r="J316" s="70">
        <v>0.93382352941176405</v>
      </c>
    </row>
    <row r="317" spans="9:10" x14ac:dyDescent="0.3">
      <c r="I317" s="72">
        <v>157.5</v>
      </c>
      <c r="J317" s="70">
        <v>0.93382352941176405</v>
      </c>
    </row>
    <row r="318" spans="9:10" x14ac:dyDescent="0.3">
      <c r="I318" s="72">
        <v>158</v>
      </c>
      <c r="J318" s="70">
        <v>0.93382352941176405</v>
      </c>
    </row>
    <row r="319" spans="9:10" x14ac:dyDescent="0.3">
      <c r="I319" s="72">
        <v>158.5</v>
      </c>
      <c r="J319" s="70">
        <v>0.93382352941176405</v>
      </c>
    </row>
    <row r="320" spans="9:10" x14ac:dyDescent="0.3">
      <c r="I320" s="72">
        <v>159</v>
      </c>
      <c r="J320" s="70">
        <v>0.93382352941176405</v>
      </c>
    </row>
    <row r="321" spans="9:10" x14ac:dyDescent="0.3">
      <c r="I321" s="72">
        <v>159.5</v>
      </c>
      <c r="J321" s="70">
        <v>0.93382352941176405</v>
      </c>
    </row>
    <row r="322" spans="9:10" x14ac:dyDescent="0.3">
      <c r="I322" s="72">
        <v>160</v>
      </c>
      <c r="J322" s="70">
        <v>0.93382352941176405</v>
      </c>
    </row>
    <row r="323" spans="9:10" x14ac:dyDescent="0.3">
      <c r="I323" s="72">
        <v>160.5</v>
      </c>
      <c r="J323" s="70">
        <v>0.93382352941176405</v>
      </c>
    </row>
    <row r="324" spans="9:10" x14ac:dyDescent="0.3">
      <c r="I324" s="72">
        <v>161</v>
      </c>
      <c r="J324" s="70">
        <v>0.93382352941176405</v>
      </c>
    </row>
    <row r="325" spans="9:10" x14ac:dyDescent="0.3">
      <c r="I325" s="72">
        <v>161.5</v>
      </c>
      <c r="J325" s="70">
        <v>0.93382352941176405</v>
      </c>
    </row>
    <row r="326" spans="9:10" x14ac:dyDescent="0.3">
      <c r="I326" s="72">
        <v>162</v>
      </c>
      <c r="J326" s="70">
        <v>0.93382352941176405</v>
      </c>
    </row>
    <row r="327" spans="9:10" x14ac:dyDescent="0.3">
      <c r="I327" s="72">
        <v>162.5</v>
      </c>
      <c r="J327" s="70">
        <v>0.93382352941176405</v>
      </c>
    </row>
    <row r="328" spans="9:10" x14ac:dyDescent="0.3">
      <c r="I328" s="72">
        <v>163</v>
      </c>
      <c r="J328" s="70">
        <v>0.93382352941176405</v>
      </c>
    </row>
    <row r="329" spans="9:10" x14ac:dyDescent="0.3">
      <c r="I329" s="72">
        <v>163.5</v>
      </c>
      <c r="J329" s="70">
        <v>0.93382352941176405</v>
      </c>
    </row>
    <row r="330" spans="9:10" x14ac:dyDescent="0.3">
      <c r="I330" s="72">
        <v>164</v>
      </c>
      <c r="J330" s="70">
        <v>0.93382352941176405</v>
      </c>
    </row>
    <row r="331" spans="9:10" x14ac:dyDescent="0.3">
      <c r="I331" s="72">
        <v>164.5</v>
      </c>
      <c r="J331" s="70">
        <v>0.93382352941176405</v>
      </c>
    </row>
    <row r="332" spans="9:10" x14ac:dyDescent="0.3">
      <c r="I332" s="72">
        <v>165</v>
      </c>
      <c r="J332" s="70">
        <v>0.93382352941176405</v>
      </c>
    </row>
    <row r="333" spans="9:10" x14ac:dyDescent="0.3">
      <c r="I333" s="72">
        <v>165.5</v>
      </c>
      <c r="J333" s="70">
        <v>0.93382352941176405</v>
      </c>
    </row>
    <row r="334" spans="9:10" x14ac:dyDescent="0.3">
      <c r="I334" s="72">
        <v>166</v>
      </c>
      <c r="J334" s="70">
        <v>0.93382352941176405</v>
      </c>
    </row>
    <row r="335" spans="9:10" x14ac:dyDescent="0.3">
      <c r="I335" s="72">
        <v>166.5</v>
      </c>
      <c r="J335" s="70">
        <v>0.93382352941176405</v>
      </c>
    </row>
    <row r="336" spans="9:10" x14ac:dyDescent="0.3">
      <c r="I336" s="72">
        <v>167</v>
      </c>
      <c r="J336" s="70">
        <v>0.93382352941176405</v>
      </c>
    </row>
    <row r="337" spans="9:10" x14ac:dyDescent="0.3">
      <c r="I337" s="72">
        <v>167.5</v>
      </c>
      <c r="J337" s="70">
        <v>0.93566176470588169</v>
      </c>
    </row>
    <row r="338" spans="9:10" x14ac:dyDescent="0.3">
      <c r="I338" s="72">
        <v>168</v>
      </c>
      <c r="J338" s="70">
        <v>0.93566176470588169</v>
      </c>
    </row>
    <row r="339" spans="9:10" x14ac:dyDescent="0.3">
      <c r="I339" s="72">
        <v>168.5</v>
      </c>
      <c r="J339" s="70">
        <v>0.93566176470588169</v>
      </c>
    </row>
    <row r="340" spans="9:10" x14ac:dyDescent="0.3">
      <c r="I340" s="72">
        <v>169</v>
      </c>
      <c r="J340" s="70">
        <v>0.93566176470588169</v>
      </c>
    </row>
    <row r="341" spans="9:10" x14ac:dyDescent="0.3">
      <c r="I341" s="72">
        <v>169.5</v>
      </c>
      <c r="J341" s="70">
        <v>0.93566176470588169</v>
      </c>
    </row>
    <row r="342" spans="9:10" x14ac:dyDescent="0.3">
      <c r="I342" s="72">
        <v>170</v>
      </c>
      <c r="J342" s="70">
        <v>0.93566176470588169</v>
      </c>
    </row>
    <row r="343" spans="9:10" x14ac:dyDescent="0.3">
      <c r="I343" s="72">
        <v>170.5</v>
      </c>
      <c r="J343" s="70">
        <v>0.93566176470588169</v>
      </c>
    </row>
    <row r="344" spans="9:10" x14ac:dyDescent="0.3">
      <c r="I344" s="72">
        <v>171</v>
      </c>
      <c r="J344" s="70">
        <v>0.93566176470588169</v>
      </c>
    </row>
    <row r="345" spans="9:10" x14ac:dyDescent="0.3">
      <c r="I345" s="72">
        <v>171.5</v>
      </c>
      <c r="J345" s="70">
        <v>0.93566176470588169</v>
      </c>
    </row>
    <row r="346" spans="9:10" x14ac:dyDescent="0.3">
      <c r="I346" s="72">
        <v>172</v>
      </c>
      <c r="J346" s="70">
        <v>0.93566176470588169</v>
      </c>
    </row>
    <row r="347" spans="9:10" x14ac:dyDescent="0.3">
      <c r="I347" s="72">
        <v>172.5</v>
      </c>
      <c r="J347" s="70">
        <v>0.93566176470588169</v>
      </c>
    </row>
    <row r="348" spans="9:10" x14ac:dyDescent="0.3">
      <c r="I348" s="72">
        <v>173</v>
      </c>
      <c r="J348" s="70">
        <v>0.93566176470588169</v>
      </c>
    </row>
    <row r="349" spans="9:10" x14ac:dyDescent="0.3">
      <c r="I349" s="72">
        <v>173.5</v>
      </c>
      <c r="J349" s="70">
        <v>0.93566176470588169</v>
      </c>
    </row>
    <row r="350" spans="9:10" x14ac:dyDescent="0.3">
      <c r="I350" s="72">
        <v>174</v>
      </c>
      <c r="J350" s="70">
        <v>0.93566176470588169</v>
      </c>
    </row>
    <row r="351" spans="9:10" x14ac:dyDescent="0.3">
      <c r="I351" s="72">
        <v>174.5</v>
      </c>
      <c r="J351" s="70">
        <v>0.93566176470588169</v>
      </c>
    </row>
    <row r="352" spans="9:10" x14ac:dyDescent="0.3">
      <c r="I352" s="72">
        <v>175</v>
      </c>
      <c r="J352" s="70">
        <v>0.93566176470588169</v>
      </c>
    </row>
    <row r="353" spans="9:10" x14ac:dyDescent="0.3">
      <c r="I353" s="72">
        <v>175.5</v>
      </c>
      <c r="J353" s="70">
        <v>0.93566176470588169</v>
      </c>
    </row>
    <row r="354" spans="9:10" x14ac:dyDescent="0.3">
      <c r="I354" s="72">
        <v>176</v>
      </c>
      <c r="J354" s="70">
        <v>0.93566176470588169</v>
      </c>
    </row>
    <row r="355" spans="9:10" x14ac:dyDescent="0.3">
      <c r="I355" s="72">
        <v>176.5</v>
      </c>
      <c r="J355" s="70">
        <v>0.93566176470588169</v>
      </c>
    </row>
    <row r="356" spans="9:10" x14ac:dyDescent="0.3">
      <c r="I356" s="72">
        <v>177</v>
      </c>
      <c r="J356" s="70">
        <v>0.93566176470588169</v>
      </c>
    </row>
    <row r="357" spans="9:10" x14ac:dyDescent="0.3">
      <c r="I357" s="72">
        <v>177.5</v>
      </c>
      <c r="J357" s="70">
        <v>0.93566176470588169</v>
      </c>
    </row>
    <row r="358" spans="9:10" x14ac:dyDescent="0.3">
      <c r="I358" s="72">
        <v>178</v>
      </c>
      <c r="J358" s="70">
        <v>0.93566176470588169</v>
      </c>
    </row>
    <row r="359" spans="9:10" x14ac:dyDescent="0.3">
      <c r="I359" s="72">
        <v>178.5</v>
      </c>
      <c r="J359" s="70">
        <v>0.93566176470588169</v>
      </c>
    </row>
    <row r="360" spans="9:10" x14ac:dyDescent="0.3">
      <c r="I360" s="72">
        <v>179</v>
      </c>
      <c r="J360" s="70">
        <v>0.93566176470588169</v>
      </c>
    </row>
    <row r="361" spans="9:10" x14ac:dyDescent="0.3">
      <c r="I361" s="72">
        <v>179.5</v>
      </c>
      <c r="J361" s="70">
        <v>0.93566176470588169</v>
      </c>
    </row>
    <row r="362" spans="9:10" x14ac:dyDescent="0.3">
      <c r="I362" s="72">
        <v>180</v>
      </c>
      <c r="J362" s="70">
        <v>0.93566176470588169</v>
      </c>
    </row>
    <row r="363" spans="9:10" x14ac:dyDescent="0.3">
      <c r="I363" s="72">
        <v>180.5</v>
      </c>
      <c r="J363" s="70">
        <v>0.93566176470588169</v>
      </c>
    </row>
    <row r="364" spans="9:10" x14ac:dyDescent="0.3">
      <c r="I364" s="72">
        <v>181</v>
      </c>
      <c r="J364" s="70">
        <v>0.93566176470588169</v>
      </c>
    </row>
    <row r="365" spans="9:10" x14ac:dyDescent="0.3">
      <c r="I365" s="72">
        <v>181.5</v>
      </c>
      <c r="J365" s="70">
        <v>0.93566176470588169</v>
      </c>
    </row>
    <row r="366" spans="9:10" x14ac:dyDescent="0.3">
      <c r="I366" s="72">
        <v>182</v>
      </c>
      <c r="J366" s="70">
        <v>0.93566176470588169</v>
      </c>
    </row>
    <row r="367" spans="9:10" x14ac:dyDescent="0.3">
      <c r="I367" s="72">
        <v>182.5</v>
      </c>
      <c r="J367" s="70">
        <v>0.93566176470588169</v>
      </c>
    </row>
    <row r="368" spans="9:10" x14ac:dyDescent="0.3">
      <c r="I368" s="72">
        <v>183</v>
      </c>
      <c r="J368" s="70">
        <v>0.93566176470588169</v>
      </c>
    </row>
    <row r="369" spans="9:10" x14ac:dyDescent="0.3">
      <c r="I369" s="72">
        <v>183.5</v>
      </c>
      <c r="J369" s="70">
        <v>0.93566176470588169</v>
      </c>
    </row>
    <row r="370" spans="9:10" x14ac:dyDescent="0.3">
      <c r="I370" s="72">
        <v>184</v>
      </c>
      <c r="J370" s="70">
        <v>0.93566176470588169</v>
      </c>
    </row>
    <row r="371" spans="9:10" x14ac:dyDescent="0.3">
      <c r="I371" s="72">
        <v>184.5</v>
      </c>
      <c r="J371" s="70">
        <v>0.93566176470588169</v>
      </c>
    </row>
    <row r="372" spans="9:10" x14ac:dyDescent="0.3">
      <c r="I372" s="72">
        <v>185</v>
      </c>
      <c r="J372" s="70">
        <v>0.93566176470588169</v>
      </c>
    </row>
    <row r="373" spans="9:10" x14ac:dyDescent="0.3">
      <c r="I373" s="72">
        <v>185.5</v>
      </c>
      <c r="J373" s="70">
        <v>0.93566176470588169</v>
      </c>
    </row>
    <row r="374" spans="9:10" x14ac:dyDescent="0.3">
      <c r="I374" s="72">
        <v>186</v>
      </c>
      <c r="J374" s="70">
        <v>0.93566176470588169</v>
      </c>
    </row>
    <row r="375" spans="9:10" x14ac:dyDescent="0.3">
      <c r="I375" s="72">
        <v>186.5</v>
      </c>
      <c r="J375" s="70">
        <v>0.93566176470588169</v>
      </c>
    </row>
    <row r="376" spans="9:10" x14ac:dyDescent="0.3">
      <c r="I376" s="72">
        <v>187</v>
      </c>
      <c r="J376" s="70">
        <v>0.93566176470588169</v>
      </c>
    </row>
    <row r="377" spans="9:10" x14ac:dyDescent="0.3">
      <c r="I377" s="72">
        <v>187.5</v>
      </c>
      <c r="J377" s="70">
        <v>0.93566176470588169</v>
      </c>
    </row>
    <row r="378" spans="9:10" x14ac:dyDescent="0.3">
      <c r="I378" s="72">
        <v>188</v>
      </c>
      <c r="J378" s="70">
        <v>0.93749999999999933</v>
      </c>
    </row>
    <row r="379" spans="9:10" x14ac:dyDescent="0.3">
      <c r="I379" s="72">
        <v>188.5</v>
      </c>
      <c r="J379" s="70">
        <v>0.93749999999999933</v>
      </c>
    </row>
    <row r="380" spans="9:10" x14ac:dyDescent="0.3">
      <c r="I380" s="72">
        <v>189</v>
      </c>
      <c r="J380" s="70">
        <v>0.93749999999999933</v>
      </c>
    </row>
    <row r="381" spans="9:10" x14ac:dyDescent="0.3">
      <c r="I381" s="72">
        <v>189.5</v>
      </c>
      <c r="J381" s="70">
        <v>0.93749999999999933</v>
      </c>
    </row>
    <row r="382" spans="9:10" x14ac:dyDescent="0.3">
      <c r="I382" s="72">
        <v>190</v>
      </c>
      <c r="J382" s="70">
        <v>0.93749999999999933</v>
      </c>
    </row>
    <row r="383" spans="9:10" x14ac:dyDescent="0.3">
      <c r="I383" s="72">
        <v>190.5</v>
      </c>
      <c r="J383" s="70">
        <v>0.93749999999999933</v>
      </c>
    </row>
    <row r="384" spans="9:10" x14ac:dyDescent="0.3">
      <c r="I384" s="72">
        <v>191</v>
      </c>
      <c r="J384" s="70">
        <v>0.93749999999999933</v>
      </c>
    </row>
    <row r="385" spans="9:10" x14ac:dyDescent="0.3">
      <c r="I385" s="72">
        <v>191.5</v>
      </c>
      <c r="J385" s="70">
        <v>0.93749999999999933</v>
      </c>
    </row>
    <row r="386" spans="9:10" x14ac:dyDescent="0.3">
      <c r="I386" s="72">
        <v>192</v>
      </c>
      <c r="J386" s="70">
        <v>0.93749999999999933</v>
      </c>
    </row>
    <row r="387" spans="9:10" x14ac:dyDescent="0.3">
      <c r="I387" s="72">
        <v>192.5</v>
      </c>
      <c r="J387" s="70">
        <v>0.93749999999999933</v>
      </c>
    </row>
    <row r="388" spans="9:10" x14ac:dyDescent="0.3">
      <c r="I388" s="72">
        <v>193</v>
      </c>
      <c r="J388" s="70">
        <v>0.93749999999999933</v>
      </c>
    </row>
    <row r="389" spans="9:10" x14ac:dyDescent="0.3">
      <c r="I389" s="72">
        <v>193.5</v>
      </c>
      <c r="J389" s="70">
        <v>0.93749999999999933</v>
      </c>
    </row>
    <row r="390" spans="9:10" x14ac:dyDescent="0.3">
      <c r="I390" s="72">
        <v>194</v>
      </c>
      <c r="J390" s="70">
        <v>0.93749999999999933</v>
      </c>
    </row>
    <row r="391" spans="9:10" x14ac:dyDescent="0.3">
      <c r="I391" s="72">
        <v>194.5</v>
      </c>
      <c r="J391" s="70">
        <v>0.93749999999999933</v>
      </c>
    </row>
    <row r="392" spans="9:10" x14ac:dyDescent="0.3">
      <c r="I392" s="72">
        <v>195</v>
      </c>
      <c r="J392" s="70">
        <v>0.93749999999999933</v>
      </c>
    </row>
    <row r="393" spans="9:10" x14ac:dyDescent="0.3">
      <c r="I393" s="72">
        <v>195.5</v>
      </c>
      <c r="J393" s="70">
        <v>0.93749999999999933</v>
      </c>
    </row>
    <row r="394" spans="9:10" x14ac:dyDescent="0.3">
      <c r="I394" s="72">
        <v>196</v>
      </c>
      <c r="J394" s="70">
        <v>0.93749999999999933</v>
      </c>
    </row>
    <row r="395" spans="9:10" x14ac:dyDescent="0.3">
      <c r="I395" s="72">
        <v>196.5</v>
      </c>
      <c r="J395" s="70">
        <v>0.93749999999999933</v>
      </c>
    </row>
    <row r="396" spans="9:10" x14ac:dyDescent="0.3">
      <c r="I396" s="72">
        <v>197</v>
      </c>
      <c r="J396" s="70">
        <v>0.93749999999999933</v>
      </c>
    </row>
    <row r="397" spans="9:10" x14ac:dyDescent="0.3">
      <c r="I397" s="72">
        <v>197.5</v>
      </c>
      <c r="J397" s="70">
        <v>0.93749999999999933</v>
      </c>
    </row>
    <row r="398" spans="9:10" x14ac:dyDescent="0.3">
      <c r="I398" s="72">
        <v>198</v>
      </c>
      <c r="J398" s="70">
        <v>0.93749999999999933</v>
      </c>
    </row>
    <row r="399" spans="9:10" x14ac:dyDescent="0.3">
      <c r="I399" s="72">
        <v>198.5</v>
      </c>
      <c r="J399" s="70">
        <v>0.93749999999999933</v>
      </c>
    </row>
    <row r="400" spans="9:10" x14ac:dyDescent="0.3">
      <c r="I400" s="72">
        <v>199</v>
      </c>
      <c r="J400" s="70">
        <v>0.93749999999999933</v>
      </c>
    </row>
    <row r="401" spans="9:10" x14ac:dyDescent="0.3">
      <c r="I401" s="72">
        <v>199.5</v>
      </c>
      <c r="J401" s="70">
        <v>0.93749999999999933</v>
      </c>
    </row>
    <row r="402" spans="9:10" x14ac:dyDescent="0.3">
      <c r="I402" s="72">
        <v>200</v>
      </c>
      <c r="J402" s="70">
        <v>0.93749999999999933</v>
      </c>
    </row>
    <row r="403" spans="9:10" x14ac:dyDescent="0.3">
      <c r="I403" s="72">
        <v>200.5</v>
      </c>
      <c r="J403" s="70">
        <v>0.93749999999999933</v>
      </c>
    </row>
    <row r="404" spans="9:10" x14ac:dyDescent="0.3">
      <c r="I404" s="72">
        <v>201</v>
      </c>
      <c r="J404" s="70">
        <v>0.93749999999999933</v>
      </c>
    </row>
    <row r="405" spans="9:10" x14ac:dyDescent="0.3">
      <c r="I405" s="72">
        <v>201.5</v>
      </c>
      <c r="J405" s="70">
        <v>0.93749999999999933</v>
      </c>
    </row>
    <row r="406" spans="9:10" x14ac:dyDescent="0.3">
      <c r="I406" s="72">
        <v>202</v>
      </c>
      <c r="J406" s="70">
        <v>0.93749999999999933</v>
      </c>
    </row>
    <row r="407" spans="9:10" x14ac:dyDescent="0.3">
      <c r="I407" s="72">
        <v>202.5</v>
      </c>
      <c r="J407" s="70">
        <v>0.93749999999999933</v>
      </c>
    </row>
    <row r="408" spans="9:10" x14ac:dyDescent="0.3">
      <c r="I408" s="72">
        <v>203</v>
      </c>
      <c r="J408" s="70">
        <v>0.93749999999999933</v>
      </c>
    </row>
    <row r="409" spans="9:10" x14ac:dyDescent="0.3">
      <c r="I409" s="72">
        <v>203.5</v>
      </c>
      <c r="J409" s="70">
        <v>0.93749999999999933</v>
      </c>
    </row>
    <row r="410" spans="9:10" x14ac:dyDescent="0.3">
      <c r="I410" s="72">
        <v>204</v>
      </c>
      <c r="J410" s="70">
        <v>0.93749999999999933</v>
      </c>
    </row>
    <row r="411" spans="9:10" x14ac:dyDescent="0.3">
      <c r="I411" s="72">
        <v>204.5</v>
      </c>
      <c r="J411" s="70">
        <v>0.93749999999999933</v>
      </c>
    </row>
    <row r="412" spans="9:10" x14ac:dyDescent="0.3">
      <c r="I412" s="72">
        <v>205</v>
      </c>
      <c r="J412" s="70">
        <v>0.93749999999999933</v>
      </c>
    </row>
    <row r="413" spans="9:10" x14ac:dyDescent="0.3">
      <c r="I413" s="72">
        <v>205.5</v>
      </c>
      <c r="J413" s="70">
        <v>0.93749999999999933</v>
      </c>
    </row>
    <row r="414" spans="9:10" x14ac:dyDescent="0.3">
      <c r="I414" s="72">
        <v>206</v>
      </c>
      <c r="J414" s="70">
        <v>0.93749999999999933</v>
      </c>
    </row>
    <row r="415" spans="9:10" x14ac:dyDescent="0.3">
      <c r="I415" s="72">
        <v>206.5</v>
      </c>
      <c r="J415" s="70">
        <v>0.93749999999999933</v>
      </c>
    </row>
    <row r="416" spans="9:10" x14ac:dyDescent="0.3">
      <c r="I416" s="72">
        <v>207</v>
      </c>
      <c r="J416" s="70">
        <v>0.93749999999999933</v>
      </c>
    </row>
    <row r="417" spans="9:10" x14ac:dyDescent="0.3">
      <c r="I417" s="72">
        <v>207.5</v>
      </c>
      <c r="J417" s="70">
        <v>0.93749999999999933</v>
      </c>
    </row>
    <row r="418" spans="9:10" x14ac:dyDescent="0.3">
      <c r="I418" s="72">
        <v>208</v>
      </c>
      <c r="J418" s="70">
        <v>0.93749999999999933</v>
      </c>
    </row>
    <row r="419" spans="9:10" x14ac:dyDescent="0.3">
      <c r="I419" s="72">
        <v>208.5</v>
      </c>
      <c r="J419" s="70">
        <v>0.93749999999999933</v>
      </c>
    </row>
    <row r="420" spans="9:10" x14ac:dyDescent="0.3">
      <c r="I420" s="72">
        <v>209</v>
      </c>
      <c r="J420" s="70">
        <v>0.93933823529411697</v>
      </c>
    </row>
    <row r="421" spans="9:10" x14ac:dyDescent="0.3">
      <c r="I421" s="72">
        <v>209.5</v>
      </c>
      <c r="J421" s="70">
        <v>0.93933823529411697</v>
      </c>
    </row>
    <row r="422" spans="9:10" x14ac:dyDescent="0.3">
      <c r="I422" s="72">
        <v>210</v>
      </c>
      <c r="J422" s="70">
        <v>0.93933823529411697</v>
      </c>
    </row>
    <row r="423" spans="9:10" x14ac:dyDescent="0.3">
      <c r="I423" s="72">
        <v>210.5</v>
      </c>
      <c r="J423" s="70">
        <v>0.93933823529411697</v>
      </c>
    </row>
    <row r="424" spans="9:10" x14ac:dyDescent="0.3">
      <c r="I424" s="72">
        <v>211</v>
      </c>
      <c r="J424" s="70">
        <v>0.93933823529411697</v>
      </c>
    </row>
    <row r="425" spans="9:10" x14ac:dyDescent="0.3">
      <c r="I425" s="72">
        <v>211.5</v>
      </c>
      <c r="J425" s="70">
        <v>0.93933823529411697</v>
      </c>
    </row>
    <row r="426" spans="9:10" x14ac:dyDescent="0.3">
      <c r="I426" s="72">
        <v>212</v>
      </c>
      <c r="J426" s="70">
        <v>0.93933823529411697</v>
      </c>
    </row>
    <row r="427" spans="9:10" x14ac:dyDescent="0.3">
      <c r="I427" s="72">
        <v>212.5</v>
      </c>
      <c r="J427" s="70">
        <v>0.93933823529411697</v>
      </c>
    </row>
    <row r="428" spans="9:10" x14ac:dyDescent="0.3">
      <c r="I428" s="72">
        <v>213</v>
      </c>
      <c r="J428" s="70">
        <v>0.93933823529411697</v>
      </c>
    </row>
    <row r="429" spans="9:10" x14ac:dyDescent="0.3">
      <c r="I429" s="72">
        <v>213.5</v>
      </c>
      <c r="J429" s="70">
        <v>0.93933823529411697</v>
      </c>
    </row>
    <row r="430" spans="9:10" x14ac:dyDescent="0.3">
      <c r="I430" s="72">
        <v>214</v>
      </c>
      <c r="J430" s="70">
        <v>0.93933823529411697</v>
      </c>
    </row>
    <row r="431" spans="9:10" x14ac:dyDescent="0.3">
      <c r="I431" s="72">
        <v>214.5</v>
      </c>
      <c r="J431" s="70">
        <v>0.93933823529411697</v>
      </c>
    </row>
    <row r="432" spans="9:10" x14ac:dyDescent="0.3">
      <c r="I432" s="72">
        <v>215</v>
      </c>
      <c r="J432" s="70">
        <v>0.93933823529411697</v>
      </c>
    </row>
    <row r="433" spans="9:10" x14ac:dyDescent="0.3">
      <c r="I433" s="72">
        <v>215.5</v>
      </c>
      <c r="J433" s="70">
        <v>0.93933823529411697</v>
      </c>
    </row>
    <row r="434" spans="9:10" x14ac:dyDescent="0.3">
      <c r="I434" s="72">
        <v>216</v>
      </c>
      <c r="J434" s="70">
        <v>0.93933823529411697</v>
      </c>
    </row>
    <row r="435" spans="9:10" x14ac:dyDescent="0.3">
      <c r="I435" s="72">
        <v>216.5</v>
      </c>
      <c r="J435" s="70">
        <v>0.93933823529411697</v>
      </c>
    </row>
    <row r="436" spans="9:10" x14ac:dyDescent="0.3">
      <c r="I436" s="72">
        <v>217</v>
      </c>
      <c r="J436" s="70">
        <v>0.93933823529411697</v>
      </c>
    </row>
    <row r="437" spans="9:10" x14ac:dyDescent="0.3">
      <c r="I437" s="72">
        <v>217.5</v>
      </c>
      <c r="J437" s="70">
        <v>0.93933823529411697</v>
      </c>
    </row>
    <row r="438" spans="9:10" x14ac:dyDescent="0.3">
      <c r="I438" s="72">
        <v>218</v>
      </c>
      <c r="J438" s="70">
        <v>0.93933823529411697</v>
      </c>
    </row>
    <row r="439" spans="9:10" x14ac:dyDescent="0.3">
      <c r="I439" s="72">
        <v>218.5</v>
      </c>
      <c r="J439" s="70">
        <v>0.93933823529411697</v>
      </c>
    </row>
    <row r="440" spans="9:10" x14ac:dyDescent="0.3">
      <c r="I440" s="72">
        <v>219</v>
      </c>
      <c r="J440" s="70">
        <v>0.93933823529411697</v>
      </c>
    </row>
    <row r="441" spans="9:10" x14ac:dyDescent="0.3">
      <c r="I441" s="72">
        <v>219.5</v>
      </c>
      <c r="J441" s="70">
        <v>0.93933823529411697</v>
      </c>
    </row>
    <row r="442" spans="9:10" x14ac:dyDescent="0.3">
      <c r="I442" s="72">
        <v>220</v>
      </c>
      <c r="J442" s="70">
        <v>0.93933823529411697</v>
      </c>
    </row>
    <row r="443" spans="9:10" x14ac:dyDescent="0.3">
      <c r="I443" s="72">
        <v>220.5</v>
      </c>
      <c r="J443" s="70">
        <v>0.93933823529411697</v>
      </c>
    </row>
    <row r="444" spans="9:10" x14ac:dyDescent="0.3">
      <c r="I444" s="72">
        <v>221</v>
      </c>
      <c r="J444" s="70">
        <v>0.93933823529411697</v>
      </c>
    </row>
    <row r="445" spans="9:10" x14ac:dyDescent="0.3">
      <c r="I445" s="72">
        <v>221.5</v>
      </c>
      <c r="J445" s="70">
        <v>0.93933823529411697</v>
      </c>
    </row>
    <row r="446" spans="9:10" x14ac:dyDescent="0.3">
      <c r="I446" s="72">
        <v>222</v>
      </c>
      <c r="J446" s="70">
        <v>0.93933823529411697</v>
      </c>
    </row>
    <row r="447" spans="9:10" x14ac:dyDescent="0.3">
      <c r="I447" s="72">
        <v>222.5</v>
      </c>
      <c r="J447" s="70">
        <v>0.93933823529411697</v>
      </c>
    </row>
    <row r="448" spans="9:10" x14ac:dyDescent="0.3">
      <c r="I448" s="72">
        <v>223</v>
      </c>
      <c r="J448" s="70">
        <v>0.93933823529411697</v>
      </c>
    </row>
    <row r="449" spans="9:10" x14ac:dyDescent="0.3">
      <c r="I449" s="72">
        <v>223.5</v>
      </c>
      <c r="J449" s="70">
        <v>0.93933823529411697</v>
      </c>
    </row>
    <row r="450" spans="9:10" x14ac:dyDescent="0.3">
      <c r="I450" s="72">
        <v>224</v>
      </c>
      <c r="J450" s="70">
        <v>0.93933823529411697</v>
      </c>
    </row>
    <row r="451" spans="9:10" x14ac:dyDescent="0.3">
      <c r="I451" s="72">
        <v>224.5</v>
      </c>
      <c r="J451" s="70">
        <v>0.93933823529411697</v>
      </c>
    </row>
    <row r="452" spans="9:10" x14ac:dyDescent="0.3">
      <c r="I452" s="72">
        <v>225</v>
      </c>
      <c r="J452" s="70">
        <v>0.93933823529411697</v>
      </c>
    </row>
    <row r="453" spans="9:10" x14ac:dyDescent="0.3">
      <c r="I453" s="72">
        <v>225.5</v>
      </c>
      <c r="J453" s="70">
        <v>0.93933823529411697</v>
      </c>
    </row>
    <row r="454" spans="9:10" x14ac:dyDescent="0.3">
      <c r="I454" s="72">
        <v>226</v>
      </c>
      <c r="J454" s="70">
        <v>0.93933823529411697</v>
      </c>
    </row>
    <row r="455" spans="9:10" x14ac:dyDescent="0.3">
      <c r="I455" s="72">
        <v>226.5</v>
      </c>
      <c r="J455" s="70">
        <v>0.93933823529411697</v>
      </c>
    </row>
    <row r="456" spans="9:10" x14ac:dyDescent="0.3">
      <c r="I456" s="72">
        <v>227</v>
      </c>
      <c r="J456" s="70">
        <v>0.93933823529411697</v>
      </c>
    </row>
    <row r="457" spans="9:10" x14ac:dyDescent="0.3">
      <c r="I457" s="72">
        <v>227.5</v>
      </c>
      <c r="J457" s="70">
        <v>0.93933823529411697</v>
      </c>
    </row>
    <row r="458" spans="9:10" x14ac:dyDescent="0.3">
      <c r="I458" s="72">
        <v>228</v>
      </c>
      <c r="J458" s="70">
        <v>0.93933823529411697</v>
      </c>
    </row>
    <row r="459" spans="9:10" x14ac:dyDescent="0.3">
      <c r="I459" s="72">
        <v>228.5</v>
      </c>
      <c r="J459" s="70">
        <v>0.93933823529411697</v>
      </c>
    </row>
    <row r="460" spans="9:10" x14ac:dyDescent="0.3">
      <c r="I460" s="72">
        <v>229</v>
      </c>
      <c r="J460" s="70">
        <v>0.93933823529411697</v>
      </c>
    </row>
    <row r="461" spans="9:10" x14ac:dyDescent="0.3">
      <c r="I461" s="72">
        <v>229.5</v>
      </c>
      <c r="J461" s="70">
        <v>0.93933823529411697</v>
      </c>
    </row>
    <row r="462" spans="9:10" x14ac:dyDescent="0.3">
      <c r="I462" s="72">
        <v>230</v>
      </c>
      <c r="J462" s="70">
        <v>0.93933823529411697</v>
      </c>
    </row>
    <row r="463" spans="9:10" x14ac:dyDescent="0.3">
      <c r="I463" s="72">
        <v>230.5</v>
      </c>
      <c r="J463" s="70">
        <v>0.94117647058823473</v>
      </c>
    </row>
    <row r="464" spans="9:10" x14ac:dyDescent="0.3">
      <c r="I464" s="72">
        <v>231</v>
      </c>
      <c r="J464" s="70">
        <v>0.94117647058823473</v>
      </c>
    </row>
    <row r="465" spans="9:10" x14ac:dyDescent="0.3">
      <c r="I465" s="72">
        <v>231.5</v>
      </c>
      <c r="J465" s="70">
        <v>0.94117647058823473</v>
      </c>
    </row>
    <row r="466" spans="9:10" x14ac:dyDescent="0.3">
      <c r="I466" s="72">
        <v>232</v>
      </c>
      <c r="J466" s="70">
        <v>0.94117647058823473</v>
      </c>
    </row>
    <row r="467" spans="9:10" x14ac:dyDescent="0.3">
      <c r="I467" s="72">
        <v>232.5</v>
      </c>
      <c r="J467" s="70">
        <v>0.94117647058823473</v>
      </c>
    </row>
    <row r="468" spans="9:10" x14ac:dyDescent="0.3">
      <c r="I468" s="72">
        <v>233</v>
      </c>
      <c r="J468" s="70">
        <v>0.94117647058823473</v>
      </c>
    </row>
    <row r="469" spans="9:10" x14ac:dyDescent="0.3">
      <c r="I469" s="72">
        <v>233.5</v>
      </c>
      <c r="J469" s="70">
        <v>0.94117647058823473</v>
      </c>
    </row>
    <row r="470" spans="9:10" x14ac:dyDescent="0.3">
      <c r="I470" s="72">
        <v>234</v>
      </c>
      <c r="J470" s="70">
        <v>0.94117647058823473</v>
      </c>
    </row>
    <row r="471" spans="9:10" x14ac:dyDescent="0.3">
      <c r="I471" s="72">
        <v>234.5</v>
      </c>
      <c r="J471" s="70">
        <v>0.94117647058823473</v>
      </c>
    </row>
    <row r="472" spans="9:10" x14ac:dyDescent="0.3">
      <c r="I472" s="72">
        <v>235</v>
      </c>
      <c r="J472" s="70">
        <v>0.94117647058823473</v>
      </c>
    </row>
    <row r="473" spans="9:10" x14ac:dyDescent="0.3">
      <c r="I473" s="72">
        <v>235.5</v>
      </c>
      <c r="J473" s="70">
        <v>0.94117647058823473</v>
      </c>
    </row>
    <row r="474" spans="9:10" x14ac:dyDescent="0.3">
      <c r="I474" s="72">
        <v>236</v>
      </c>
      <c r="J474" s="70">
        <v>0.94117647058823473</v>
      </c>
    </row>
    <row r="475" spans="9:10" x14ac:dyDescent="0.3">
      <c r="I475" s="72">
        <v>236.5</v>
      </c>
      <c r="J475" s="70">
        <v>0.94117647058823473</v>
      </c>
    </row>
    <row r="476" spans="9:10" x14ac:dyDescent="0.3">
      <c r="I476" s="72">
        <v>237</v>
      </c>
      <c r="J476" s="70">
        <v>0.94117647058823473</v>
      </c>
    </row>
    <row r="477" spans="9:10" x14ac:dyDescent="0.3">
      <c r="I477" s="72">
        <v>237.5</v>
      </c>
      <c r="J477" s="70">
        <v>0.94117647058823473</v>
      </c>
    </row>
    <row r="478" spans="9:10" x14ac:dyDescent="0.3">
      <c r="I478" s="72">
        <v>238</v>
      </c>
      <c r="J478" s="70">
        <v>0.94117647058823473</v>
      </c>
    </row>
    <row r="479" spans="9:10" x14ac:dyDescent="0.3">
      <c r="I479" s="72">
        <v>238.5</v>
      </c>
      <c r="J479" s="70">
        <v>0.94117647058823473</v>
      </c>
    </row>
    <row r="480" spans="9:10" x14ac:dyDescent="0.3">
      <c r="I480" s="72">
        <v>239</v>
      </c>
      <c r="J480" s="70">
        <v>0.94117647058823473</v>
      </c>
    </row>
    <row r="481" spans="9:10" x14ac:dyDescent="0.3">
      <c r="I481" s="72">
        <v>239.5</v>
      </c>
      <c r="J481" s="70">
        <v>0.94117647058823473</v>
      </c>
    </row>
    <row r="482" spans="9:10" x14ac:dyDescent="0.3">
      <c r="I482" s="72">
        <v>240</v>
      </c>
      <c r="J482" s="70">
        <v>0.94117647058823473</v>
      </c>
    </row>
    <row r="483" spans="9:10" x14ac:dyDescent="0.3">
      <c r="I483" s="72">
        <v>240.5</v>
      </c>
      <c r="J483" s="70">
        <v>0.94117647058823473</v>
      </c>
    </row>
    <row r="484" spans="9:10" x14ac:dyDescent="0.3">
      <c r="I484" s="72">
        <v>241</v>
      </c>
      <c r="J484" s="70">
        <v>0.94117647058823473</v>
      </c>
    </row>
    <row r="485" spans="9:10" x14ac:dyDescent="0.3">
      <c r="I485" s="72">
        <v>241.5</v>
      </c>
      <c r="J485" s="70">
        <v>0.94117647058823473</v>
      </c>
    </row>
    <row r="486" spans="9:10" x14ac:dyDescent="0.3">
      <c r="I486" s="72">
        <v>242</v>
      </c>
      <c r="J486" s="70">
        <v>0.94117647058823473</v>
      </c>
    </row>
    <row r="487" spans="9:10" x14ac:dyDescent="0.3">
      <c r="I487" s="72">
        <v>242.5</v>
      </c>
      <c r="J487" s="70">
        <v>0.94117647058823473</v>
      </c>
    </row>
    <row r="488" spans="9:10" x14ac:dyDescent="0.3">
      <c r="I488" s="72">
        <v>243</v>
      </c>
      <c r="J488" s="70">
        <v>0.94117647058823473</v>
      </c>
    </row>
    <row r="489" spans="9:10" x14ac:dyDescent="0.3">
      <c r="I489" s="72">
        <v>243.5</v>
      </c>
      <c r="J489" s="70">
        <v>0.94117647058823473</v>
      </c>
    </row>
    <row r="490" spans="9:10" x14ac:dyDescent="0.3">
      <c r="I490" s="72">
        <v>244</v>
      </c>
      <c r="J490" s="70">
        <v>0.94117647058823473</v>
      </c>
    </row>
    <row r="491" spans="9:10" x14ac:dyDescent="0.3">
      <c r="I491" s="72">
        <v>244.5</v>
      </c>
      <c r="J491" s="70">
        <v>0.94117647058823473</v>
      </c>
    </row>
    <row r="492" spans="9:10" x14ac:dyDescent="0.3">
      <c r="I492" s="72">
        <v>245</v>
      </c>
      <c r="J492" s="70">
        <v>0.94117647058823473</v>
      </c>
    </row>
    <row r="493" spans="9:10" x14ac:dyDescent="0.3">
      <c r="I493" s="72">
        <v>245.5</v>
      </c>
      <c r="J493" s="70">
        <v>0.94117647058823473</v>
      </c>
    </row>
    <row r="494" spans="9:10" x14ac:dyDescent="0.3">
      <c r="I494" s="72">
        <v>246</v>
      </c>
      <c r="J494" s="70">
        <v>0.94117647058823473</v>
      </c>
    </row>
    <row r="495" spans="9:10" x14ac:dyDescent="0.3">
      <c r="I495" s="72">
        <v>246.5</v>
      </c>
      <c r="J495" s="70">
        <v>0.94117647058823473</v>
      </c>
    </row>
    <row r="496" spans="9:10" x14ac:dyDescent="0.3">
      <c r="I496" s="72">
        <v>247</v>
      </c>
      <c r="J496" s="70">
        <v>0.94117647058823473</v>
      </c>
    </row>
    <row r="497" spans="9:10" x14ac:dyDescent="0.3">
      <c r="I497" s="72">
        <v>247.5</v>
      </c>
      <c r="J497" s="70">
        <v>0.94117647058823473</v>
      </c>
    </row>
    <row r="498" spans="9:10" x14ac:dyDescent="0.3">
      <c r="I498" s="72">
        <v>248</v>
      </c>
      <c r="J498" s="70">
        <v>0.94117647058823473</v>
      </c>
    </row>
    <row r="499" spans="9:10" x14ac:dyDescent="0.3">
      <c r="I499" s="72">
        <v>248.5</v>
      </c>
      <c r="J499" s="70">
        <v>0.94117647058823473</v>
      </c>
    </row>
    <row r="500" spans="9:10" x14ac:dyDescent="0.3">
      <c r="I500" s="72">
        <v>249</v>
      </c>
      <c r="J500" s="70">
        <v>0.94117647058823473</v>
      </c>
    </row>
    <row r="501" spans="9:10" x14ac:dyDescent="0.3">
      <c r="I501" s="72">
        <v>249.5</v>
      </c>
      <c r="J501" s="70">
        <v>0.94117647058823473</v>
      </c>
    </row>
    <row r="502" spans="9:10" x14ac:dyDescent="0.3">
      <c r="I502" s="72">
        <v>250</v>
      </c>
      <c r="J502" s="70">
        <v>0.94117647058823473</v>
      </c>
    </row>
    <row r="503" spans="9:10" x14ac:dyDescent="0.3">
      <c r="I503" s="72">
        <v>250.5</v>
      </c>
      <c r="J503" s="70">
        <v>0.94117647058823473</v>
      </c>
    </row>
    <row r="504" spans="9:10" x14ac:dyDescent="0.3">
      <c r="I504" s="72">
        <v>251</v>
      </c>
      <c r="J504" s="70">
        <v>0.94117647058823473</v>
      </c>
    </row>
    <row r="505" spans="9:10" x14ac:dyDescent="0.3">
      <c r="I505" s="72">
        <v>251.5</v>
      </c>
      <c r="J505" s="70">
        <v>0.94117647058823473</v>
      </c>
    </row>
    <row r="506" spans="9:10" x14ac:dyDescent="0.3">
      <c r="I506" s="72">
        <v>252</v>
      </c>
      <c r="J506" s="70">
        <v>0.94117647058823473</v>
      </c>
    </row>
    <row r="507" spans="9:10" x14ac:dyDescent="0.3">
      <c r="I507" s="72">
        <v>252.5</v>
      </c>
      <c r="J507" s="70">
        <v>0.94117647058823473</v>
      </c>
    </row>
    <row r="508" spans="9:10" x14ac:dyDescent="0.3">
      <c r="I508" s="72">
        <v>253</v>
      </c>
      <c r="J508" s="70">
        <v>0.94301470588235237</v>
      </c>
    </row>
    <row r="509" spans="9:10" x14ac:dyDescent="0.3">
      <c r="I509" s="72">
        <v>253.5</v>
      </c>
      <c r="J509" s="70">
        <v>0.94301470588235237</v>
      </c>
    </row>
    <row r="510" spans="9:10" x14ac:dyDescent="0.3">
      <c r="I510" s="72">
        <v>254</v>
      </c>
      <c r="J510" s="70">
        <v>0.94301470588235237</v>
      </c>
    </row>
    <row r="511" spans="9:10" x14ac:dyDescent="0.3">
      <c r="I511" s="72">
        <v>254.5</v>
      </c>
      <c r="J511" s="70">
        <v>0.94301470588235237</v>
      </c>
    </row>
    <row r="512" spans="9:10" x14ac:dyDescent="0.3">
      <c r="I512" s="72">
        <v>255</v>
      </c>
      <c r="J512" s="70">
        <v>0.94301470588235237</v>
      </c>
    </row>
    <row r="513" spans="9:10" x14ac:dyDescent="0.3">
      <c r="I513" s="72">
        <v>255.5</v>
      </c>
      <c r="J513" s="70">
        <v>0.94301470588235237</v>
      </c>
    </row>
    <row r="514" spans="9:10" x14ac:dyDescent="0.3">
      <c r="I514" s="72">
        <v>256</v>
      </c>
      <c r="J514" s="70">
        <v>0.94301470588235237</v>
      </c>
    </row>
    <row r="515" spans="9:10" x14ac:dyDescent="0.3">
      <c r="I515" s="72">
        <v>256.5</v>
      </c>
      <c r="J515" s="70">
        <v>0.94301470588235237</v>
      </c>
    </row>
    <row r="516" spans="9:10" x14ac:dyDescent="0.3">
      <c r="I516" s="72">
        <v>257</v>
      </c>
      <c r="J516" s="70">
        <v>0.94301470588235237</v>
      </c>
    </row>
    <row r="517" spans="9:10" x14ac:dyDescent="0.3">
      <c r="I517" s="72">
        <v>257.5</v>
      </c>
      <c r="J517" s="70">
        <v>0.94301470588235237</v>
      </c>
    </row>
    <row r="518" spans="9:10" x14ac:dyDescent="0.3">
      <c r="I518" s="72">
        <v>258</v>
      </c>
      <c r="J518" s="70">
        <v>0.94301470588235237</v>
      </c>
    </row>
    <row r="519" spans="9:10" x14ac:dyDescent="0.3">
      <c r="I519" s="72">
        <v>258.5</v>
      </c>
      <c r="J519" s="70">
        <v>0.94301470588235237</v>
      </c>
    </row>
    <row r="520" spans="9:10" x14ac:dyDescent="0.3">
      <c r="I520" s="72">
        <v>259</v>
      </c>
      <c r="J520" s="70">
        <v>0.94301470588235237</v>
      </c>
    </row>
    <row r="521" spans="9:10" x14ac:dyDescent="0.3">
      <c r="I521" s="72">
        <v>259.5</v>
      </c>
      <c r="J521" s="70">
        <v>0.94301470588235237</v>
      </c>
    </row>
    <row r="522" spans="9:10" x14ac:dyDescent="0.3">
      <c r="I522" s="72">
        <v>260</v>
      </c>
      <c r="J522" s="70">
        <v>0.94301470588235237</v>
      </c>
    </row>
    <row r="523" spans="9:10" x14ac:dyDescent="0.3">
      <c r="I523" s="72">
        <v>260.5</v>
      </c>
      <c r="J523" s="70">
        <v>0.94301470588235237</v>
      </c>
    </row>
    <row r="524" spans="9:10" x14ac:dyDescent="0.3">
      <c r="I524" s="72">
        <v>261</v>
      </c>
      <c r="J524" s="70">
        <v>0.94301470588235237</v>
      </c>
    </row>
    <row r="525" spans="9:10" x14ac:dyDescent="0.3">
      <c r="I525" s="72">
        <v>261.5</v>
      </c>
      <c r="J525" s="70">
        <v>0.94301470588235237</v>
      </c>
    </row>
    <row r="526" spans="9:10" x14ac:dyDescent="0.3">
      <c r="I526" s="72">
        <v>262</v>
      </c>
      <c r="J526" s="70">
        <v>0.94301470588235237</v>
      </c>
    </row>
    <row r="527" spans="9:10" x14ac:dyDescent="0.3">
      <c r="I527" s="72">
        <v>262.5</v>
      </c>
      <c r="J527" s="70">
        <v>0.94301470588235237</v>
      </c>
    </row>
    <row r="528" spans="9:10" x14ac:dyDescent="0.3">
      <c r="I528" s="72">
        <v>263</v>
      </c>
      <c r="J528" s="70">
        <v>0.94301470588235237</v>
      </c>
    </row>
    <row r="529" spans="9:10" x14ac:dyDescent="0.3">
      <c r="I529" s="72">
        <v>263.5</v>
      </c>
      <c r="J529" s="70">
        <v>0.94301470588235237</v>
      </c>
    </row>
    <row r="530" spans="9:10" x14ac:dyDescent="0.3">
      <c r="I530" s="72">
        <v>264</v>
      </c>
      <c r="J530" s="70">
        <v>0.94301470588235237</v>
      </c>
    </row>
    <row r="531" spans="9:10" x14ac:dyDescent="0.3">
      <c r="I531" s="72">
        <v>264.5</v>
      </c>
      <c r="J531" s="70">
        <v>0.94301470588235237</v>
      </c>
    </row>
    <row r="532" spans="9:10" x14ac:dyDescent="0.3">
      <c r="I532" s="72">
        <v>265</v>
      </c>
      <c r="J532" s="70">
        <v>0.94301470588235237</v>
      </c>
    </row>
    <row r="533" spans="9:10" x14ac:dyDescent="0.3">
      <c r="I533" s="72">
        <v>265.5</v>
      </c>
      <c r="J533" s="70">
        <v>0.94301470588235237</v>
      </c>
    </row>
    <row r="534" spans="9:10" x14ac:dyDescent="0.3">
      <c r="I534" s="72">
        <v>266</v>
      </c>
      <c r="J534" s="70">
        <v>0.94301470588235237</v>
      </c>
    </row>
    <row r="535" spans="9:10" x14ac:dyDescent="0.3">
      <c r="I535" s="72">
        <v>266.5</v>
      </c>
      <c r="J535" s="70">
        <v>0.94301470588235237</v>
      </c>
    </row>
    <row r="536" spans="9:10" x14ac:dyDescent="0.3">
      <c r="I536" s="72">
        <v>267</v>
      </c>
      <c r="J536" s="70">
        <v>0.94301470588235237</v>
      </c>
    </row>
    <row r="537" spans="9:10" x14ac:dyDescent="0.3">
      <c r="I537" s="72">
        <v>267.5</v>
      </c>
      <c r="J537" s="70">
        <v>0.94301470588235237</v>
      </c>
    </row>
    <row r="538" spans="9:10" x14ac:dyDescent="0.3">
      <c r="I538" s="72">
        <v>268</v>
      </c>
      <c r="J538" s="70">
        <v>0.94301470588235237</v>
      </c>
    </row>
    <row r="539" spans="9:10" x14ac:dyDescent="0.3">
      <c r="I539" s="72">
        <v>268.5</v>
      </c>
      <c r="J539" s="70">
        <v>0.94301470588235237</v>
      </c>
    </row>
    <row r="540" spans="9:10" x14ac:dyDescent="0.3">
      <c r="I540" s="72">
        <v>269</v>
      </c>
      <c r="J540" s="70">
        <v>0.94301470588235237</v>
      </c>
    </row>
    <row r="541" spans="9:10" x14ac:dyDescent="0.3">
      <c r="I541" s="72">
        <v>269.5</v>
      </c>
      <c r="J541" s="70">
        <v>0.94301470588235237</v>
      </c>
    </row>
    <row r="542" spans="9:10" x14ac:dyDescent="0.3">
      <c r="I542" s="72">
        <v>270</v>
      </c>
      <c r="J542" s="70">
        <v>0.94301470588235237</v>
      </c>
    </row>
    <row r="543" spans="9:10" x14ac:dyDescent="0.3">
      <c r="I543" s="72">
        <v>270.5</v>
      </c>
      <c r="J543" s="70">
        <v>0.94301470588235237</v>
      </c>
    </row>
    <row r="544" spans="9:10" x14ac:dyDescent="0.3">
      <c r="I544" s="72">
        <v>271</v>
      </c>
      <c r="J544" s="70">
        <v>0.94301470588235237</v>
      </c>
    </row>
    <row r="545" spans="9:10" x14ac:dyDescent="0.3">
      <c r="I545" s="72">
        <v>271.5</v>
      </c>
      <c r="J545" s="70">
        <v>0.94301470588235237</v>
      </c>
    </row>
    <row r="546" spans="9:10" x14ac:dyDescent="0.3">
      <c r="I546" s="72">
        <v>272</v>
      </c>
      <c r="J546" s="70">
        <v>0.94301470588235237</v>
      </c>
    </row>
    <row r="547" spans="9:10" x14ac:dyDescent="0.3">
      <c r="I547" s="72">
        <v>272.5</v>
      </c>
      <c r="J547" s="70">
        <v>0.94301470588235237</v>
      </c>
    </row>
    <row r="548" spans="9:10" x14ac:dyDescent="0.3">
      <c r="I548" s="72">
        <v>273</v>
      </c>
      <c r="J548" s="70">
        <v>0.94301470588235237</v>
      </c>
    </row>
    <row r="549" spans="9:10" x14ac:dyDescent="0.3">
      <c r="I549" s="72">
        <v>273.5</v>
      </c>
      <c r="J549" s="70">
        <v>0.94301470588235237</v>
      </c>
    </row>
    <row r="550" spans="9:10" x14ac:dyDescent="0.3">
      <c r="I550" s="72">
        <v>274</v>
      </c>
      <c r="J550" s="70">
        <v>0.94301470588235237</v>
      </c>
    </row>
    <row r="551" spans="9:10" x14ac:dyDescent="0.3">
      <c r="I551" s="72">
        <v>274.5</v>
      </c>
      <c r="J551" s="70">
        <v>0.94301470588235237</v>
      </c>
    </row>
    <row r="552" spans="9:10" x14ac:dyDescent="0.3">
      <c r="I552" s="72">
        <v>275</v>
      </c>
      <c r="J552" s="70">
        <v>0.94301470588235237</v>
      </c>
    </row>
    <row r="553" spans="9:10" x14ac:dyDescent="0.3">
      <c r="I553" s="72">
        <v>275.5</v>
      </c>
      <c r="J553" s="70">
        <v>0.94301470588235237</v>
      </c>
    </row>
    <row r="554" spans="9:10" x14ac:dyDescent="0.3">
      <c r="I554" s="72">
        <v>276</v>
      </c>
      <c r="J554" s="70">
        <v>0.94485294117647001</v>
      </c>
    </row>
    <row r="555" spans="9:10" x14ac:dyDescent="0.3">
      <c r="I555" s="72">
        <v>276.5</v>
      </c>
      <c r="J555" s="70">
        <v>0.94485294117647001</v>
      </c>
    </row>
    <row r="556" spans="9:10" x14ac:dyDescent="0.3">
      <c r="I556" s="72">
        <v>277</v>
      </c>
      <c r="J556" s="70">
        <v>0.94485294117647001</v>
      </c>
    </row>
    <row r="557" spans="9:10" x14ac:dyDescent="0.3">
      <c r="I557" s="72">
        <v>277.5</v>
      </c>
      <c r="J557" s="70">
        <v>0.94485294117647001</v>
      </c>
    </row>
    <row r="558" spans="9:10" x14ac:dyDescent="0.3">
      <c r="I558" s="72">
        <v>278</v>
      </c>
      <c r="J558" s="70">
        <v>0.94485294117647001</v>
      </c>
    </row>
    <row r="559" spans="9:10" x14ac:dyDescent="0.3">
      <c r="I559" s="72">
        <v>278.5</v>
      </c>
      <c r="J559" s="70">
        <v>0.94485294117647001</v>
      </c>
    </row>
    <row r="560" spans="9:10" x14ac:dyDescent="0.3">
      <c r="I560" s="72">
        <v>279</v>
      </c>
      <c r="J560" s="70">
        <v>0.94485294117647001</v>
      </c>
    </row>
    <row r="561" spans="9:10" x14ac:dyDescent="0.3">
      <c r="I561" s="72">
        <v>279.5</v>
      </c>
      <c r="J561" s="70">
        <v>0.94485294117647001</v>
      </c>
    </row>
    <row r="562" spans="9:10" x14ac:dyDescent="0.3">
      <c r="I562" s="72">
        <v>280</v>
      </c>
      <c r="J562" s="70">
        <v>0.94485294117647001</v>
      </c>
    </row>
    <row r="563" spans="9:10" x14ac:dyDescent="0.3">
      <c r="I563" s="72">
        <v>280.5</v>
      </c>
      <c r="J563" s="70">
        <v>0.94485294117647001</v>
      </c>
    </row>
    <row r="564" spans="9:10" x14ac:dyDescent="0.3">
      <c r="I564" s="72">
        <v>281</v>
      </c>
      <c r="J564" s="70">
        <v>0.94485294117647001</v>
      </c>
    </row>
    <row r="565" spans="9:10" x14ac:dyDescent="0.3">
      <c r="I565" s="72">
        <v>281.5</v>
      </c>
      <c r="J565" s="70">
        <v>0.94485294117647001</v>
      </c>
    </row>
    <row r="566" spans="9:10" x14ac:dyDescent="0.3">
      <c r="I566" s="72">
        <v>282</v>
      </c>
      <c r="J566" s="70">
        <v>0.94485294117647001</v>
      </c>
    </row>
    <row r="567" spans="9:10" x14ac:dyDescent="0.3">
      <c r="I567" s="72">
        <v>282.5</v>
      </c>
      <c r="J567" s="70">
        <v>0.94485294117647001</v>
      </c>
    </row>
    <row r="568" spans="9:10" x14ac:dyDescent="0.3">
      <c r="I568" s="72">
        <v>283</v>
      </c>
      <c r="J568" s="70">
        <v>0.94485294117647001</v>
      </c>
    </row>
    <row r="569" spans="9:10" x14ac:dyDescent="0.3">
      <c r="I569" s="72">
        <v>283.5</v>
      </c>
      <c r="J569" s="70">
        <v>0.94485294117647001</v>
      </c>
    </row>
    <row r="570" spans="9:10" x14ac:dyDescent="0.3">
      <c r="I570" s="72">
        <v>284</v>
      </c>
      <c r="J570" s="70">
        <v>0.94485294117647001</v>
      </c>
    </row>
    <row r="571" spans="9:10" x14ac:dyDescent="0.3">
      <c r="I571" s="72">
        <v>284.5</v>
      </c>
      <c r="J571" s="70">
        <v>0.94485294117647001</v>
      </c>
    </row>
    <row r="572" spans="9:10" x14ac:dyDescent="0.3">
      <c r="I572" s="72">
        <v>285</v>
      </c>
      <c r="J572" s="70">
        <v>0.94485294117647001</v>
      </c>
    </row>
    <row r="573" spans="9:10" x14ac:dyDescent="0.3">
      <c r="I573" s="72">
        <v>285.5</v>
      </c>
      <c r="J573" s="70">
        <v>0.94485294117647001</v>
      </c>
    </row>
    <row r="574" spans="9:10" x14ac:dyDescent="0.3">
      <c r="I574" s="72">
        <v>286</v>
      </c>
      <c r="J574" s="70">
        <v>0.94485294117647001</v>
      </c>
    </row>
    <row r="575" spans="9:10" x14ac:dyDescent="0.3">
      <c r="I575" s="72">
        <v>286.5</v>
      </c>
      <c r="J575" s="70">
        <v>0.94485294117647001</v>
      </c>
    </row>
    <row r="576" spans="9:10" x14ac:dyDescent="0.3">
      <c r="I576" s="72">
        <v>287</v>
      </c>
      <c r="J576" s="70">
        <v>0.94485294117647001</v>
      </c>
    </row>
    <row r="577" spans="9:10" x14ac:dyDescent="0.3">
      <c r="I577" s="72">
        <v>287.5</v>
      </c>
      <c r="J577" s="70">
        <v>0.94485294117647001</v>
      </c>
    </row>
    <row r="578" spans="9:10" x14ac:dyDescent="0.3">
      <c r="I578" s="72">
        <v>288</v>
      </c>
      <c r="J578" s="70">
        <v>0.94485294117647001</v>
      </c>
    </row>
    <row r="579" spans="9:10" x14ac:dyDescent="0.3">
      <c r="I579" s="72">
        <v>288.5</v>
      </c>
      <c r="J579" s="70">
        <v>0.94485294117647001</v>
      </c>
    </row>
    <row r="580" spans="9:10" x14ac:dyDescent="0.3">
      <c r="I580" s="72">
        <v>289</v>
      </c>
      <c r="J580" s="70">
        <v>0.94485294117647001</v>
      </c>
    </row>
    <row r="581" spans="9:10" x14ac:dyDescent="0.3">
      <c r="I581" s="72">
        <v>289.5</v>
      </c>
      <c r="J581" s="70">
        <v>0.94485294117647001</v>
      </c>
    </row>
    <row r="582" spans="9:10" x14ac:dyDescent="0.3">
      <c r="I582" s="72">
        <v>290</v>
      </c>
      <c r="J582" s="70">
        <v>0.94485294117647001</v>
      </c>
    </row>
    <row r="583" spans="9:10" x14ac:dyDescent="0.3">
      <c r="I583" s="72">
        <v>290.5</v>
      </c>
      <c r="J583" s="70">
        <v>0.94485294117647001</v>
      </c>
    </row>
    <row r="584" spans="9:10" x14ac:dyDescent="0.3">
      <c r="I584" s="72">
        <v>291</v>
      </c>
      <c r="J584" s="70">
        <v>0.94485294117647001</v>
      </c>
    </row>
    <row r="585" spans="9:10" x14ac:dyDescent="0.3">
      <c r="I585" s="72">
        <v>291.5</v>
      </c>
      <c r="J585" s="70">
        <v>0.94485294117647001</v>
      </c>
    </row>
    <row r="586" spans="9:10" x14ac:dyDescent="0.3">
      <c r="I586" s="72">
        <v>292</v>
      </c>
      <c r="J586" s="70">
        <v>0.94485294117647001</v>
      </c>
    </row>
    <row r="587" spans="9:10" x14ac:dyDescent="0.3">
      <c r="I587" s="72">
        <v>292.5</v>
      </c>
      <c r="J587" s="70">
        <v>0.94485294117647001</v>
      </c>
    </row>
    <row r="588" spans="9:10" x14ac:dyDescent="0.3">
      <c r="I588" s="72">
        <v>293</v>
      </c>
      <c r="J588" s="70">
        <v>0.94485294117647001</v>
      </c>
    </row>
    <row r="589" spans="9:10" x14ac:dyDescent="0.3">
      <c r="I589" s="72">
        <v>293.5</v>
      </c>
      <c r="J589" s="70">
        <v>0.94485294117647001</v>
      </c>
    </row>
    <row r="590" spans="9:10" x14ac:dyDescent="0.3">
      <c r="I590" s="72">
        <v>294</v>
      </c>
      <c r="J590" s="70">
        <v>0.94485294117647001</v>
      </c>
    </row>
    <row r="591" spans="9:10" x14ac:dyDescent="0.3">
      <c r="I591" s="72">
        <v>294.5</v>
      </c>
      <c r="J591" s="70">
        <v>0.94485294117647001</v>
      </c>
    </row>
    <row r="592" spans="9:10" x14ac:dyDescent="0.3">
      <c r="I592" s="72">
        <v>295</v>
      </c>
      <c r="J592" s="70">
        <v>0.94485294117647001</v>
      </c>
    </row>
    <row r="593" spans="9:10" x14ac:dyDescent="0.3">
      <c r="I593" s="72">
        <v>295.5</v>
      </c>
      <c r="J593" s="70">
        <v>0.94485294117647001</v>
      </c>
    </row>
    <row r="594" spans="9:10" x14ac:dyDescent="0.3">
      <c r="I594" s="72">
        <v>296</v>
      </c>
      <c r="J594" s="70">
        <v>0.94485294117647001</v>
      </c>
    </row>
    <row r="595" spans="9:10" x14ac:dyDescent="0.3">
      <c r="I595" s="72">
        <v>296.5</v>
      </c>
      <c r="J595" s="70">
        <v>0.94485294117647001</v>
      </c>
    </row>
    <row r="596" spans="9:10" x14ac:dyDescent="0.3">
      <c r="I596" s="72">
        <v>297</v>
      </c>
      <c r="J596" s="70">
        <v>0.94485294117647001</v>
      </c>
    </row>
    <row r="597" spans="9:10" x14ac:dyDescent="0.3">
      <c r="I597" s="72">
        <v>297.5</v>
      </c>
      <c r="J597" s="70">
        <v>0.94485294117647001</v>
      </c>
    </row>
    <row r="598" spans="9:10" x14ac:dyDescent="0.3">
      <c r="I598" s="72">
        <v>298</v>
      </c>
      <c r="J598" s="70">
        <v>0.94485294117647001</v>
      </c>
    </row>
    <row r="599" spans="9:10" x14ac:dyDescent="0.3">
      <c r="I599" s="72">
        <v>298.5</v>
      </c>
      <c r="J599" s="70">
        <v>0.94485294117647001</v>
      </c>
    </row>
    <row r="600" spans="9:10" x14ac:dyDescent="0.3">
      <c r="I600" s="72">
        <v>299</v>
      </c>
      <c r="J600" s="70">
        <v>0.94485294117647001</v>
      </c>
    </row>
    <row r="601" spans="9:10" x14ac:dyDescent="0.3">
      <c r="I601" s="72">
        <v>299.5</v>
      </c>
      <c r="J601" s="70">
        <v>0.94485294117647001</v>
      </c>
    </row>
    <row r="602" spans="9:10" x14ac:dyDescent="0.3">
      <c r="I602" s="72">
        <v>300</v>
      </c>
      <c r="J602" s="70">
        <v>0.94669117647058765</v>
      </c>
    </row>
    <row r="603" spans="9:10" x14ac:dyDescent="0.3">
      <c r="I603" s="72">
        <v>300.5</v>
      </c>
      <c r="J603" s="70">
        <v>0.94669117647058765</v>
      </c>
    </row>
    <row r="604" spans="9:10" x14ac:dyDescent="0.3">
      <c r="I604" s="72">
        <v>301</v>
      </c>
      <c r="J604" s="70">
        <v>0.94669117647058765</v>
      </c>
    </row>
    <row r="605" spans="9:10" x14ac:dyDescent="0.3">
      <c r="I605" s="72">
        <v>301.5</v>
      </c>
      <c r="J605" s="70">
        <v>0.94669117647058765</v>
      </c>
    </row>
    <row r="606" spans="9:10" x14ac:dyDescent="0.3">
      <c r="I606" s="72">
        <v>302</v>
      </c>
      <c r="J606" s="70">
        <v>0.94669117647058765</v>
      </c>
    </row>
    <row r="607" spans="9:10" x14ac:dyDescent="0.3">
      <c r="I607" s="72">
        <v>302.5</v>
      </c>
      <c r="J607" s="70">
        <v>0.94669117647058765</v>
      </c>
    </row>
    <row r="608" spans="9:10" x14ac:dyDescent="0.3">
      <c r="I608" s="72">
        <v>303</v>
      </c>
      <c r="J608" s="70">
        <v>0.94669117647058765</v>
      </c>
    </row>
    <row r="609" spans="9:10" x14ac:dyDescent="0.3">
      <c r="I609" s="72">
        <v>303.5</v>
      </c>
      <c r="J609" s="70">
        <v>0.94669117647058765</v>
      </c>
    </row>
    <row r="610" spans="9:10" x14ac:dyDescent="0.3">
      <c r="I610" s="72">
        <v>304</v>
      </c>
      <c r="J610" s="70">
        <v>0.94669117647058765</v>
      </c>
    </row>
    <row r="611" spans="9:10" x14ac:dyDescent="0.3">
      <c r="I611" s="72">
        <v>304.5</v>
      </c>
      <c r="J611" s="70">
        <v>0.94669117647058765</v>
      </c>
    </row>
    <row r="612" spans="9:10" x14ac:dyDescent="0.3">
      <c r="I612" s="72">
        <v>305</v>
      </c>
      <c r="J612" s="70">
        <v>0.94669117647058765</v>
      </c>
    </row>
    <row r="613" spans="9:10" x14ac:dyDescent="0.3">
      <c r="I613" s="72">
        <v>305.5</v>
      </c>
      <c r="J613" s="70">
        <v>0.94669117647058765</v>
      </c>
    </row>
    <row r="614" spans="9:10" x14ac:dyDescent="0.3">
      <c r="I614" s="72">
        <v>306</v>
      </c>
      <c r="J614" s="70">
        <v>0.94669117647058765</v>
      </c>
    </row>
    <row r="615" spans="9:10" x14ac:dyDescent="0.3">
      <c r="I615" s="72">
        <v>306.5</v>
      </c>
      <c r="J615" s="70">
        <v>0.94669117647058765</v>
      </c>
    </row>
    <row r="616" spans="9:10" x14ac:dyDescent="0.3">
      <c r="I616" s="72">
        <v>307</v>
      </c>
      <c r="J616" s="70">
        <v>0.94669117647058765</v>
      </c>
    </row>
    <row r="617" spans="9:10" x14ac:dyDescent="0.3">
      <c r="I617" s="72">
        <v>307.5</v>
      </c>
      <c r="J617" s="70">
        <v>0.94669117647058765</v>
      </c>
    </row>
    <row r="618" spans="9:10" x14ac:dyDescent="0.3">
      <c r="I618" s="72">
        <v>308</v>
      </c>
      <c r="J618" s="70">
        <v>0.94669117647058765</v>
      </c>
    </row>
    <row r="619" spans="9:10" x14ac:dyDescent="0.3">
      <c r="I619" s="72">
        <v>308.5</v>
      </c>
      <c r="J619" s="70">
        <v>0.94669117647058765</v>
      </c>
    </row>
    <row r="620" spans="9:10" x14ac:dyDescent="0.3">
      <c r="I620" s="72">
        <v>309</v>
      </c>
      <c r="J620" s="70">
        <v>0.94669117647058765</v>
      </c>
    </row>
    <row r="621" spans="9:10" x14ac:dyDescent="0.3">
      <c r="I621" s="72">
        <v>309.5</v>
      </c>
      <c r="J621" s="70">
        <v>0.94669117647058765</v>
      </c>
    </row>
    <row r="622" spans="9:10" x14ac:dyDescent="0.3">
      <c r="I622" s="72">
        <v>310</v>
      </c>
      <c r="J622" s="70">
        <v>0.94669117647058765</v>
      </c>
    </row>
    <row r="623" spans="9:10" x14ac:dyDescent="0.3">
      <c r="I623" s="72">
        <v>310.5</v>
      </c>
      <c r="J623" s="70">
        <v>0.94669117647058765</v>
      </c>
    </row>
    <row r="624" spans="9:10" x14ac:dyDescent="0.3">
      <c r="I624" s="72">
        <v>311</v>
      </c>
      <c r="J624" s="70">
        <v>0.94669117647058765</v>
      </c>
    </row>
    <row r="625" spans="9:10" x14ac:dyDescent="0.3">
      <c r="I625" s="72">
        <v>311.5</v>
      </c>
      <c r="J625" s="70">
        <v>0.94669117647058765</v>
      </c>
    </row>
    <row r="626" spans="9:10" x14ac:dyDescent="0.3">
      <c r="I626" s="72">
        <v>312</v>
      </c>
      <c r="J626" s="70">
        <v>0.94669117647058765</v>
      </c>
    </row>
    <row r="627" spans="9:10" x14ac:dyDescent="0.3">
      <c r="I627" s="72">
        <v>312.5</v>
      </c>
      <c r="J627" s="70">
        <v>0.94669117647058765</v>
      </c>
    </row>
    <row r="628" spans="9:10" x14ac:dyDescent="0.3">
      <c r="I628" s="72">
        <v>313</v>
      </c>
      <c r="J628" s="70">
        <v>0.94669117647058765</v>
      </c>
    </row>
    <row r="629" spans="9:10" x14ac:dyDescent="0.3">
      <c r="I629" s="72">
        <v>313.5</v>
      </c>
      <c r="J629" s="70">
        <v>0.94669117647058765</v>
      </c>
    </row>
    <row r="630" spans="9:10" x14ac:dyDescent="0.3">
      <c r="I630" s="72">
        <v>314</v>
      </c>
      <c r="J630" s="70">
        <v>0.94669117647058765</v>
      </c>
    </row>
    <row r="631" spans="9:10" x14ac:dyDescent="0.3">
      <c r="I631" s="72">
        <v>314.5</v>
      </c>
      <c r="J631" s="70">
        <v>0.94669117647058765</v>
      </c>
    </row>
    <row r="632" spans="9:10" x14ac:dyDescent="0.3">
      <c r="I632" s="72">
        <v>315</v>
      </c>
      <c r="J632" s="70">
        <v>0.94669117647058765</v>
      </c>
    </row>
    <row r="633" spans="9:10" x14ac:dyDescent="0.3">
      <c r="I633" s="72">
        <v>315.5</v>
      </c>
      <c r="J633" s="70">
        <v>0.94669117647058765</v>
      </c>
    </row>
    <row r="634" spans="9:10" x14ac:dyDescent="0.3">
      <c r="I634" s="72">
        <v>316</v>
      </c>
      <c r="J634" s="70">
        <v>0.94669117647058765</v>
      </c>
    </row>
    <row r="635" spans="9:10" x14ac:dyDescent="0.3">
      <c r="I635" s="72">
        <v>316.5</v>
      </c>
      <c r="J635" s="70">
        <v>0.94669117647058765</v>
      </c>
    </row>
    <row r="636" spans="9:10" x14ac:dyDescent="0.3">
      <c r="I636" s="72">
        <v>317</v>
      </c>
      <c r="J636" s="70">
        <v>0.94669117647058765</v>
      </c>
    </row>
    <row r="637" spans="9:10" x14ac:dyDescent="0.3">
      <c r="I637" s="72">
        <v>317.5</v>
      </c>
      <c r="J637" s="70">
        <v>0.94669117647058765</v>
      </c>
    </row>
    <row r="638" spans="9:10" x14ac:dyDescent="0.3">
      <c r="I638" s="72">
        <v>318</v>
      </c>
      <c r="J638" s="70">
        <v>0.94669117647058765</v>
      </c>
    </row>
    <row r="639" spans="9:10" x14ac:dyDescent="0.3">
      <c r="I639" s="72">
        <v>318.5</v>
      </c>
      <c r="J639" s="70">
        <v>0.94669117647058765</v>
      </c>
    </row>
    <row r="640" spans="9:10" x14ac:dyDescent="0.3">
      <c r="I640" s="72">
        <v>319</v>
      </c>
      <c r="J640" s="70">
        <v>0.94669117647058765</v>
      </c>
    </row>
    <row r="641" spans="9:10" x14ac:dyDescent="0.3">
      <c r="I641" s="72">
        <v>319.5</v>
      </c>
      <c r="J641" s="70">
        <v>0.94669117647058765</v>
      </c>
    </row>
    <row r="642" spans="9:10" x14ac:dyDescent="0.3">
      <c r="I642" s="72">
        <v>320</v>
      </c>
      <c r="J642" s="70">
        <v>0.94669117647058765</v>
      </c>
    </row>
    <row r="643" spans="9:10" x14ac:dyDescent="0.3">
      <c r="I643" s="72">
        <v>320.5</v>
      </c>
      <c r="J643" s="70">
        <v>0.94669117647058765</v>
      </c>
    </row>
    <row r="644" spans="9:10" x14ac:dyDescent="0.3">
      <c r="I644" s="72">
        <v>321</v>
      </c>
      <c r="J644" s="70">
        <v>0.94669117647058765</v>
      </c>
    </row>
    <row r="645" spans="9:10" x14ac:dyDescent="0.3">
      <c r="I645" s="72">
        <v>321.5</v>
      </c>
      <c r="J645" s="70">
        <v>0.94669117647058765</v>
      </c>
    </row>
    <row r="646" spans="9:10" x14ac:dyDescent="0.3">
      <c r="I646" s="72">
        <v>322</v>
      </c>
      <c r="J646" s="70">
        <v>0.94669117647058765</v>
      </c>
    </row>
    <row r="647" spans="9:10" x14ac:dyDescent="0.3">
      <c r="I647" s="72">
        <v>322.5</v>
      </c>
      <c r="J647" s="70">
        <v>0.94669117647058765</v>
      </c>
    </row>
    <row r="648" spans="9:10" x14ac:dyDescent="0.3">
      <c r="I648" s="72">
        <v>323</v>
      </c>
      <c r="J648" s="70">
        <v>0.94669117647058765</v>
      </c>
    </row>
    <row r="649" spans="9:10" x14ac:dyDescent="0.3">
      <c r="I649" s="72">
        <v>323.5</v>
      </c>
      <c r="J649" s="70">
        <v>0.94669117647058765</v>
      </c>
    </row>
    <row r="650" spans="9:10" x14ac:dyDescent="0.3">
      <c r="I650" s="72">
        <v>324</v>
      </c>
      <c r="J650" s="70">
        <v>0.94669117647058765</v>
      </c>
    </row>
    <row r="651" spans="9:10" x14ac:dyDescent="0.3">
      <c r="I651" s="72">
        <v>324.5</v>
      </c>
      <c r="J651" s="70">
        <v>0.94852941176470529</v>
      </c>
    </row>
    <row r="652" spans="9:10" x14ac:dyDescent="0.3">
      <c r="I652" s="72">
        <v>325</v>
      </c>
      <c r="J652" s="70">
        <v>0.94852941176470529</v>
      </c>
    </row>
    <row r="653" spans="9:10" x14ac:dyDescent="0.3">
      <c r="I653" s="72">
        <v>325.5</v>
      </c>
      <c r="J653" s="70">
        <v>0.94852941176470529</v>
      </c>
    </row>
    <row r="654" spans="9:10" x14ac:dyDescent="0.3">
      <c r="I654" s="72">
        <v>326</v>
      </c>
      <c r="J654" s="70">
        <v>0.94852941176470529</v>
      </c>
    </row>
    <row r="655" spans="9:10" x14ac:dyDescent="0.3">
      <c r="I655" s="72">
        <v>326.5</v>
      </c>
      <c r="J655" s="70">
        <v>0.94852941176470529</v>
      </c>
    </row>
    <row r="656" spans="9:10" x14ac:dyDescent="0.3">
      <c r="I656" s="72">
        <v>327</v>
      </c>
      <c r="J656" s="70">
        <v>0.94852941176470529</v>
      </c>
    </row>
    <row r="657" spans="9:10" x14ac:dyDescent="0.3">
      <c r="I657" s="72">
        <v>327.5</v>
      </c>
      <c r="J657" s="70">
        <v>0.94852941176470529</v>
      </c>
    </row>
    <row r="658" spans="9:10" x14ac:dyDescent="0.3">
      <c r="I658" s="72">
        <v>328</v>
      </c>
      <c r="J658" s="70">
        <v>0.94852941176470529</v>
      </c>
    </row>
    <row r="659" spans="9:10" x14ac:dyDescent="0.3">
      <c r="I659" s="72">
        <v>328.5</v>
      </c>
      <c r="J659" s="70">
        <v>0.94852941176470529</v>
      </c>
    </row>
    <row r="660" spans="9:10" x14ac:dyDescent="0.3">
      <c r="I660" s="72">
        <v>329</v>
      </c>
      <c r="J660" s="70">
        <v>0.94852941176470529</v>
      </c>
    </row>
    <row r="661" spans="9:10" x14ac:dyDescent="0.3">
      <c r="I661" s="72">
        <v>329.5</v>
      </c>
      <c r="J661" s="70">
        <v>0.94852941176470529</v>
      </c>
    </row>
    <row r="662" spans="9:10" x14ac:dyDescent="0.3">
      <c r="I662" s="72">
        <v>330</v>
      </c>
      <c r="J662" s="70">
        <v>0.94852941176470529</v>
      </c>
    </row>
    <row r="663" spans="9:10" x14ac:dyDescent="0.3">
      <c r="I663" s="72">
        <v>330.5</v>
      </c>
      <c r="J663" s="70">
        <v>0.94852941176470529</v>
      </c>
    </row>
    <row r="664" spans="9:10" x14ac:dyDescent="0.3">
      <c r="I664" s="72">
        <v>331</v>
      </c>
      <c r="J664" s="70">
        <v>0.94852941176470529</v>
      </c>
    </row>
    <row r="665" spans="9:10" x14ac:dyDescent="0.3">
      <c r="I665" s="72">
        <v>331.5</v>
      </c>
      <c r="J665" s="70">
        <v>0.94852941176470529</v>
      </c>
    </row>
    <row r="666" spans="9:10" x14ac:dyDescent="0.3">
      <c r="I666" s="72">
        <v>332</v>
      </c>
      <c r="J666" s="70">
        <v>0.94852941176470529</v>
      </c>
    </row>
    <row r="667" spans="9:10" x14ac:dyDescent="0.3">
      <c r="I667" s="72">
        <v>332.5</v>
      </c>
      <c r="J667" s="70">
        <v>0.94852941176470529</v>
      </c>
    </row>
    <row r="668" spans="9:10" x14ac:dyDescent="0.3">
      <c r="I668" s="72">
        <v>333</v>
      </c>
      <c r="J668" s="70">
        <v>0.94852941176470529</v>
      </c>
    </row>
    <row r="669" spans="9:10" x14ac:dyDescent="0.3">
      <c r="I669" s="72">
        <v>333.5</v>
      </c>
      <c r="J669" s="70">
        <v>0.94852941176470529</v>
      </c>
    </row>
    <row r="670" spans="9:10" x14ac:dyDescent="0.3">
      <c r="I670" s="72">
        <v>334</v>
      </c>
      <c r="J670" s="70">
        <v>0.94852941176470529</v>
      </c>
    </row>
    <row r="671" spans="9:10" x14ac:dyDescent="0.3">
      <c r="I671" s="72">
        <v>334.5</v>
      </c>
      <c r="J671" s="70">
        <v>0.94852941176470529</v>
      </c>
    </row>
    <row r="672" spans="9:10" x14ac:dyDescent="0.3">
      <c r="I672" s="72">
        <v>335</v>
      </c>
      <c r="J672" s="70">
        <v>0.94852941176470529</v>
      </c>
    </row>
    <row r="673" spans="9:10" x14ac:dyDescent="0.3">
      <c r="I673" s="72">
        <v>335.5</v>
      </c>
      <c r="J673" s="70">
        <v>0.94852941176470529</v>
      </c>
    </row>
    <row r="674" spans="9:10" x14ac:dyDescent="0.3">
      <c r="I674" s="72">
        <v>336</v>
      </c>
      <c r="J674" s="70">
        <v>0.94852941176470529</v>
      </c>
    </row>
    <row r="675" spans="9:10" x14ac:dyDescent="0.3">
      <c r="I675" s="72">
        <v>336.5</v>
      </c>
      <c r="J675" s="70">
        <v>0.94852941176470529</v>
      </c>
    </row>
    <row r="676" spans="9:10" x14ac:dyDescent="0.3">
      <c r="I676" s="72">
        <v>337</v>
      </c>
      <c r="J676" s="70">
        <v>0.94852941176470529</v>
      </c>
    </row>
    <row r="677" spans="9:10" x14ac:dyDescent="0.3">
      <c r="I677" s="72">
        <v>337.5</v>
      </c>
      <c r="J677" s="70">
        <v>0.94852941176470529</v>
      </c>
    </row>
    <row r="678" spans="9:10" x14ac:dyDescent="0.3">
      <c r="I678" s="72">
        <v>338</v>
      </c>
      <c r="J678" s="70">
        <v>0.94852941176470529</v>
      </c>
    </row>
    <row r="679" spans="9:10" x14ac:dyDescent="0.3">
      <c r="I679" s="72">
        <v>338.5</v>
      </c>
      <c r="J679" s="70">
        <v>0.94852941176470529</v>
      </c>
    </row>
    <row r="680" spans="9:10" x14ac:dyDescent="0.3">
      <c r="I680" s="72">
        <v>339</v>
      </c>
      <c r="J680" s="70">
        <v>0.94852941176470529</v>
      </c>
    </row>
    <row r="681" spans="9:10" x14ac:dyDescent="0.3">
      <c r="I681" s="72">
        <v>339.5</v>
      </c>
      <c r="J681" s="70">
        <v>0.94852941176470529</v>
      </c>
    </row>
    <row r="682" spans="9:10" x14ac:dyDescent="0.3">
      <c r="I682" s="72">
        <v>340</v>
      </c>
      <c r="J682" s="70">
        <v>0.94852941176470529</v>
      </c>
    </row>
    <row r="683" spans="9:10" x14ac:dyDescent="0.3">
      <c r="I683" s="72">
        <v>340.5</v>
      </c>
      <c r="J683" s="70">
        <v>0.94852941176470529</v>
      </c>
    </row>
    <row r="684" spans="9:10" x14ac:dyDescent="0.3">
      <c r="I684" s="72">
        <v>341</v>
      </c>
      <c r="J684" s="70">
        <v>0.94852941176470529</v>
      </c>
    </row>
    <row r="685" spans="9:10" x14ac:dyDescent="0.3">
      <c r="I685" s="72">
        <v>341.5</v>
      </c>
      <c r="J685" s="70">
        <v>0.94852941176470529</v>
      </c>
    </row>
    <row r="686" spans="9:10" x14ac:dyDescent="0.3">
      <c r="I686" s="72">
        <v>342</v>
      </c>
      <c r="J686" s="70">
        <v>0.94852941176470529</v>
      </c>
    </row>
    <row r="687" spans="9:10" x14ac:dyDescent="0.3">
      <c r="I687" s="72">
        <v>342.5</v>
      </c>
      <c r="J687" s="70">
        <v>0.94852941176470529</v>
      </c>
    </row>
    <row r="688" spans="9:10" x14ac:dyDescent="0.3">
      <c r="I688" s="72">
        <v>343</v>
      </c>
      <c r="J688" s="70">
        <v>0.94852941176470529</v>
      </c>
    </row>
    <row r="689" spans="9:10" x14ac:dyDescent="0.3">
      <c r="I689" s="72">
        <v>343.5</v>
      </c>
      <c r="J689" s="70">
        <v>0.94852941176470529</v>
      </c>
    </row>
    <row r="690" spans="9:10" x14ac:dyDescent="0.3">
      <c r="I690" s="72">
        <v>344</v>
      </c>
      <c r="J690" s="70">
        <v>0.94852941176470529</v>
      </c>
    </row>
    <row r="691" spans="9:10" x14ac:dyDescent="0.3">
      <c r="I691" s="72">
        <v>344.5</v>
      </c>
      <c r="J691" s="70">
        <v>0.94852941176470529</v>
      </c>
    </row>
    <row r="692" spans="9:10" x14ac:dyDescent="0.3">
      <c r="I692" s="72">
        <v>345</v>
      </c>
      <c r="J692" s="70">
        <v>0.94852941176470529</v>
      </c>
    </row>
    <row r="693" spans="9:10" x14ac:dyDescent="0.3">
      <c r="I693" s="72">
        <v>345.5</v>
      </c>
      <c r="J693" s="70">
        <v>0.94852941176470529</v>
      </c>
    </row>
    <row r="694" spans="9:10" x14ac:dyDescent="0.3">
      <c r="I694" s="72">
        <v>346</v>
      </c>
      <c r="J694" s="70">
        <v>0.94852941176470529</v>
      </c>
    </row>
    <row r="695" spans="9:10" x14ac:dyDescent="0.3">
      <c r="I695" s="72">
        <v>346.5</v>
      </c>
      <c r="J695" s="70">
        <v>0.94852941176470529</v>
      </c>
    </row>
    <row r="696" spans="9:10" x14ac:dyDescent="0.3">
      <c r="I696" s="72">
        <v>347</v>
      </c>
      <c r="J696" s="70">
        <v>0.94852941176470529</v>
      </c>
    </row>
    <row r="697" spans="9:10" x14ac:dyDescent="0.3">
      <c r="I697" s="72">
        <v>347.5</v>
      </c>
      <c r="J697" s="70">
        <v>0.94852941176470529</v>
      </c>
    </row>
    <row r="698" spans="9:10" x14ac:dyDescent="0.3">
      <c r="I698" s="72">
        <v>348</v>
      </c>
      <c r="J698" s="70">
        <v>0.94852941176470529</v>
      </c>
    </row>
    <row r="699" spans="9:10" x14ac:dyDescent="0.3">
      <c r="I699" s="72">
        <v>348.5</v>
      </c>
      <c r="J699" s="70">
        <v>0.94852941176470529</v>
      </c>
    </row>
    <row r="700" spans="9:10" x14ac:dyDescent="0.3">
      <c r="I700" s="72">
        <v>349</v>
      </c>
      <c r="J700" s="70">
        <v>0.94852941176470529</v>
      </c>
    </row>
    <row r="701" spans="9:10" x14ac:dyDescent="0.3">
      <c r="I701" s="72">
        <v>349.5</v>
      </c>
      <c r="J701" s="70">
        <v>0.94852941176470529</v>
      </c>
    </row>
    <row r="702" spans="9:10" x14ac:dyDescent="0.3">
      <c r="I702" s="72">
        <v>350</v>
      </c>
      <c r="J702" s="70">
        <v>0.95036764705882304</v>
      </c>
    </row>
    <row r="703" spans="9:10" x14ac:dyDescent="0.3">
      <c r="I703" s="72">
        <v>350.5</v>
      </c>
      <c r="J703" s="70">
        <v>0.95036764705882304</v>
      </c>
    </row>
    <row r="704" spans="9:10" x14ac:dyDescent="0.3">
      <c r="I704" s="72">
        <v>351</v>
      </c>
      <c r="J704" s="70">
        <v>0.95036764705882304</v>
      </c>
    </row>
    <row r="705" spans="9:10" x14ac:dyDescent="0.3">
      <c r="I705" s="72">
        <v>351.5</v>
      </c>
      <c r="J705" s="70">
        <v>0.95036764705882304</v>
      </c>
    </row>
    <row r="706" spans="9:10" x14ac:dyDescent="0.3">
      <c r="I706" s="72">
        <v>352</v>
      </c>
      <c r="J706" s="70">
        <v>0.95036764705882304</v>
      </c>
    </row>
    <row r="707" spans="9:10" x14ac:dyDescent="0.3">
      <c r="I707" s="72">
        <v>352.5</v>
      </c>
      <c r="J707" s="70">
        <v>0.95036764705882304</v>
      </c>
    </row>
    <row r="708" spans="9:10" x14ac:dyDescent="0.3">
      <c r="I708" s="72">
        <v>353</v>
      </c>
      <c r="J708" s="70">
        <v>0.95036764705882304</v>
      </c>
    </row>
    <row r="709" spans="9:10" x14ac:dyDescent="0.3">
      <c r="I709" s="72">
        <v>353.5</v>
      </c>
      <c r="J709" s="70">
        <v>0.95036764705882304</v>
      </c>
    </row>
    <row r="710" spans="9:10" x14ac:dyDescent="0.3">
      <c r="I710" s="72">
        <v>354</v>
      </c>
      <c r="J710" s="70">
        <v>0.95036764705882304</v>
      </c>
    </row>
    <row r="711" spans="9:10" x14ac:dyDescent="0.3">
      <c r="I711" s="72">
        <v>354.5</v>
      </c>
      <c r="J711" s="70">
        <v>0.95036764705882304</v>
      </c>
    </row>
    <row r="712" spans="9:10" x14ac:dyDescent="0.3">
      <c r="I712" s="72">
        <v>355</v>
      </c>
      <c r="J712" s="70">
        <v>0.95036764705882304</v>
      </c>
    </row>
    <row r="713" spans="9:10" x14ac:dyDescent="0.3">
      <c r="I713" s="72">
        <v>355.5</v>
      </c>
      <c r="J713" s="70">
        <v>0.95036764705882304</v>
      </c>
    </row>
    <row r="714" spans="9:10" x14ac:dyDescent="0.3">
      <c r="I714" s="72">
        <v>356</v>
      </c>
      <c r="J714" s="70">
        <v>0.95036764705882304</v>
      </c>
    </row>
    <row r="715" spans="9:10" x14ac:dyDescent="0.3">
      <c r="I715" s="72">
        <v>356.5</v>
      </c>
      <c r="J715" s="70">
        <v>0.95036764705882304</v>
      </c>
    </row>
    <row r="716" spans="9:10" x14ac:dyDescent="0.3">
      <c r="I716" s="72">
        <v>357</v>
      </c>
      <c r="J716" s="70">
        <v>0.95036764705882304</v>
      </c>
    </row>
    <row r="717" spans="9:10" x14ac:dyDescent="0.3">
      <c r="I717" s="72">
        <v>357.5</v>
      </c>
      <c r="J717" s="70">
        <v>0.95036764705882304</v>
      </c>
    </row>
    <row r="718" spans="9:10" x14ac:dyDescent="0.3">
      <c r="I718" s="72">
        <v>358</v>
      </c>
      <c r="J718" s="70">
        <v>0.95036764705882304</v>
      </c>
    </row>
    <row r="719" spans="9:10" x14ac:dyDescent="0.3">
      <c r="I719" s="72">
        <v>358.5</v>
      </c>
      <c r="J719" s="70">
        <v>0.95036764705882304</v>
      </c>
    </row>
    <row r="720" spans="9:10" x14ac:dyDescent="0.3">
      <c r="I720" s="72">
        <v>359</v>
      </c>
      <c r="J720" s="70">
        <v>0.95036764705882304</v>
      </c>
    </row>
    <row r="721" spans="9:10" x14ac:dyDescent="0.3">
      <c r="I721" s="72">
        <v>359.5</v>
      </c>
      <c r="J721" s="70">
        <v>0.95036764705882304</v>
      </c>
    </row>
    <row r="722" spans="9:10" x14ac:dyDescent="0.3">
      <c r="I722" s="72">
        <v>360</v>
      </c>
      <c r="J722" s="70">
        <v>0.95036764705882304</v>
      </c>
    </row>
    <row r="723" spans="9:10" x14ac:dyDescent="0.3">
      <c r="I723" s="72">
        <v>360.5</v>
      </c>
      <c r="J723" s="70">
        <v>0.95036764705882304</v>
      </c>
    </row>
    <row r="724" spans="9:10" x14ac:dyDescent="0.3">
      <c r="I724" s="72">
        <v>361</v>
      </c>
      <c r="J724" s="70">
        <v>0.95036764705882304</v>
      </c>
    </row>
    <row r="725" spans="9:10" x14ac:dyDescent="0.3">
      <c r="I725" s="72">
        <v>361.5</v>
      </c>
      <c r="J725" s="70">
        <v>0.95036764705882304</v>
      </c>
    </row>
    <row r="726" spans="9:10" x14ac:dyDescent="0.3">
      <c r="I726" s="72">
        <v>362</v>
      </c>
      <c r="J726" s="70">
        <v>0.95036764705882304</v>
      </c>
    </row>
    <row r="727" spans="9:10" x14ac:dyDescent="0.3">
      <c r="I727" s="72">
        <v>362.5</v>
      </c>
      <c r="J727" s="70">
        <v>0.95036764705882304</v>
      </c>
    </row>
    <row r="728" spans="9:10" x14ac:dyDescent="0.3">
      <c r="I728" s="72">
        <v>363</v>
      </c>
      <c r="J728" s="70">
        <v>0.95036764705882304</v>
      </c>
    </row>
    <row r="729" spans="9:10" x14ac:dyDescent="0.3">
      <c r="I729" s="72">
        <v>363.5</v>
      </c>
      <c r="J729" s="70">
        <v>0.95036764705882304</v>
      </c>
    </row>
    <row r="730" spans="9:10" x14ac:dyDescent="0.3">
      <c r="I730" s="72">
        <v>364</v>
      </c>
      <c r="J730" s="70">
        <v>0.95036764705882304</v>
      </c>
    </row>
    <row r="731" spans="9:10" x14ac:dyDescent="0.3">
      <c r="I731" s="72">
        <v>364.5</v>
      </c>
      <c r="J731" s="70">
        <v>0.95036764705882304</v>
      </c>
    </row>
    <row r="732" spans="9:10" x14ac:dyDescent="0.3">
      <c r="I732" s="72">
        <v>365</v>
      </c>
      <c r="J732" s="70">
        <v>0.95036764705882304</v>
      </c>
    </row>
    <row r="733" spans="9:10" x14ac:dyDescent="0.3">
      <c r="I733" s="72">
        <v>365.5</v>
      </c>
      <c r="J733" s="70">
        <v>0.95036764705882304</v>
      </c>
    </row>
    <row r="734" spans="9:10" x14ac:dyDescent="0.3">
      <c r="I734" s="72">
        <v>366</v>
      </c>
      <c r="J734" s="70">
        <v>0.95036764705882304</v>
      </c>
    </row>
    <row r="735" spans="9:10" x14ac:dyDescent="0.3">
      <c r="I735" s="72">
        <v>366.5</v>
      </c>
      <c r="J735" s="70">
        <v>0.95036764705882304</v>
      </c>
    </row>
    <row r="736" spans="9:10" x14ac:dyDescent="0.3">
      <c r="I736" s="72">
        <v>367</v>
      </c>
      <c r="J736" s="70">
        <v>0.95036764705882304</v>
      </c>
    </row>
    <row r="737" spans="9:10" x14ac:dyDescent="0.3">
      <c r="I737" s="72">
        <v>367.5</v>
      </c>
      <c r="J737" s="70">
        <v>0.95036764705882304</v>
      </c>
    </row>
    <row r="738" spans="9:10" x14ac:dyDescent="0.3">
      <c r="I738" s="72">
        <v>368</v>
      </c>
      <c r="J738" s="70">
        <v>0.95036764705882304</v>
      </c>
    </row>
    <row r="739" spans="9:10" x14ac:dyDescent="0.3">
      <c r="I739" s="72">
        <v>368.5</v>
      </c>
      <c r="J739" s="70">
        <v>0.95036764705882304</v>
      </c>
    </row>
    <row r="740" spans="9:10" x14ac:dyDescent="0.3">
      <c r="I740" s="72">
        <v>369</v>
      </c>
      <c r="J740" s="70">
        <v>0.95036764705882304</v>
      </c>
    </row>
    <row r="741" spans="9:10" x14ac:dyDescent="0.3">
      <c r="I741" s="72">
        <v>369.5</v>
      </c>
      <c r="J741" s="70">
        <v>0.95036764705882304</v>
      </c>
    </row>
    <row r="742" spans="9:10" x14ac:dyDescent="0.3">
      <c r="I742" s="72">
        <v>370</v>
      </c>
      <c r="J742" s="70">
        <v>0.95036764705882304</v>
      </c>
    </row>
    <row r="743" spans="9:10" x14ac:dyDescent="0.3">
      <c r="I743" s="72">
        <v>370.5</v>
      </c>
      <c r="J743" s="70">
        <v>0.95036764705882304</v>
      </c>
    </row>
    <row r="744" spans="9:10" x14ac:dyDescent="0.3">
      <c r="I744" s="72">
        <v>371</v>
      </c>
      <c r="J744" s="70">
        <v>0.95036764705882304</v>
      </c>
    </row>
    <row r="745" spans="9:10" x14ac:dyDescent="0.3">
      <c r="I745" s="72">
        <v>371.5</v>
      </c>
      <c r="J745" s="70">
        <v>0.95036764705882304</v>
      </c>
    </row>
    <row r="746" spans="9:10" x14ac:dyDescent="0.3">
      <c r="I746" s="72">
        <v>372</v>
      </c>
      <c r="J746" s="70">
        <v>0.95036764705882304</v>
      </c>
    </row>
    <row r="747" spans="9:10" x14ac:dyDescent="0.3">
      <c r="I747" s="72">
        <v>372.5</v>
      </c>
      <c r="J747" s="70">
        <v>0.95036764705882304</v>
      </c>
    </row>
    <row r="748" spans="9:10" x14ac:dyDescent="0.3">
      <c r="I748" s="72">
        <v>373</v>
      </c>
      <c r="J748" s="70">
        <v>0.95036764705882304</v>
      </c>
    </row>
    <row r="749" spans="9:10" x14ac:dyDescent="0.3">
      <c r="I749" s="72">
        <v>373.5</v>
      </c>
      <c r="J749" s="70">
        <v>0.95036764705882304</v>
      </c>
    </row>
    <row r="750" spans="9:10" x14ac:dyDescent="0.3">
      <c r="I750" s="72">
        <v>374</v>
      </c>
      <c r="J750" s="70">
        <v>0.95036764705882304</v>
      </c>
    </row>
    <row r="751" spans="9:10" x14ac:dyDescent="0.3">
      <c r="I751" s="72">
        <v>374.5</v>
      </c>
      <c r="J751" s="70">
        <v>0.95036764705882304</v>
      </c>
    </row>
    <row r="752" spans="9:10" x14ac:dyDescent="0.3">
      <c r="I752" s="72">
        <v>375</v>
      </c>
      <c r="J752" s="70">
        <v>0.95036764705882304</v>
      </c>
    </row>
    <row r="753" spans="9:10" x14ac:dyDescent="0.3">
      <c r="I753" s="72">
        <v>375.5</v>
      </c>
      <c r="J753" s="70">
        <v>0.95036764705882304</v>
      </c>
    </row>
    <row r="754" spans="9:10" x14ac:dyDescent="0.3">
      <c r="I754" s="72">
        <v>376</v>
      </c>
      <c r="J754" s="70">
        <v>0.95220588235294068</v>
      </c>
    </row>
    <row r="755" spans="9:10" x14ac:dyDescent="0.3">
      <c r="I755" s="72">
        <v>376.5</v>
      </c>
      <c r="J755" s="70">
        <v>0.95220588235294068</v>
      </c>
    </row>
    <row r="756" spans="9:10" x14ac:dyDescent="0.3">
      <c r="I756" s="72">
        <v>377</v>
      </c>
      <c r="J756" s="70">
        <v>0.95220588235294068</v>
      </c>
    </row>
    <row r="757" spans="9:10" x14ac:dyDescent="0.3">
      <c r="I757" s="72">
        <v>377.5</v>
      </c>
      <c r="J757" s="70">
        <v>0.95220588235294068</v>
      </c>
    </row>
    <row r="758" spans="9:10" x14ac:dyDescent="0.3">
      <c r="I758" s="72">
        <v>378</v>
      </c>
      <c r="J758" s="70">
        <v>0.95220588235294068</v>
      </c>
    </row>
    <row r="759" spans="9:10" x14ac:dyDescent="0.3">
      <c r="I759" s="72">
        <v>378.5</v>
      </c>
      <c r="J759" s="70">
        <v>0.95220588235294068</v>
      </c>
    </row>
    <row r="760" spans="9:10" x14ac:dyDescent="0.3">
      <c r="I760" s="72">
        <v>379</v>
      </c>
      <c r="J760" s="70">
        <v>0.95220588235294068</v>
      </c>
    </row>
    <row r="761" spans="9:10" x14ac:dyDescent="0.3">
      <c r="I761" s="72">
        <v>379.5</v>
      </c>
      <c r="J761" s="70">
        <v>0.95220588235294068</v>
      </c>
    </row>
    <row r="762" spans="9:10" x14ac:dyDescent="0.3">
      <c r="I762" s="72">
        <v>380</v>
      </c>
      <c r="J762" s="70">
        <v>0.95220588235294068</v>
      </c>
    </row>
    <row r="763" spans="9:10" x14ac:dyDescent="0.3">
      <c r="I763" s="72">
        <v>380.5</v>
      </c>
      <c r="J763" s="70">
        <v>0.95220588235294068</v>
      </c>
    </row>
    <row r="764" spans="9:10" x14ac:dyDescent="0.3">
      <c r="I764" s="72">
        <v>381</v>
      </c>
      <c r="J764" s="70">
        <v>0.95220588235294068</v>
      </c>
    </row>
    <row r="765" spans="9:10" x14ac:dyDescent="0.3">
      <c r="I765" s="72">
        <v>381.5</v>
      </c>
      <c r="J765" s="70">
        <v>0.95220588235294068</v>
      </c>
    </row>
    <row r="766" spans="9:10" x14ac:dyDescent="0.3">
      <c r="I766" s="72">
        <v>382</v>
      </c>
      <c r="J766" s="70">
        <v>0.95220588235294068</v>
      </c>
    </row>
    <row r="767" spans="9:10" x14ac:dyDescent="0.3">
      <c r="I767" s="72">
        <v>382.5</v>
      </c>
      <c r="J767" s="70">
        <v>0.95220588235294068</v>
      </c>
    </row>
    <row r="768" spans="9:10" x14ac:dyDescent="0.3">
      <c r="I768" s="72">
        <v>383</v>
      </c>
      <c r="J768" s="70">
        <v>0.95220588235294068</v>
      </c>
    </row>
    <row r="769" spans="9:10" x14ac:dyDescent="0.3">
      <c r="I769" s="72">
        <v>383.5</v>
      </c>
      <c r="J769" s="70">
        <v>0.95220588235294068</v>
      </c>
    </row>
    <row r="770" spans="9:10" x14ac:dyDescent="0.3">
      <c r="I770" s="72">
        <v>384</v>
      </c>
      <c r="J770" s="70">
        <v>0.95220588235294068</v>
      </c>
    </row>
    <row r="771" spans="9:10" x14ac:dyDescent="0.3">
      <c r="I771" s="72">
        <v>384.5</v>
      </c>
      <c r="J771" s="70">
        <v>0.95220588235294068</v>
      </c>
    </row>
    <row r="772" spans="9:10" x14ac:dyDescent="0.3">
      <c r="I772" s="72">
        <v>385</v>
      </c>
      <c r="J772" s="70">
        <v>0.95220588235294068</v>
      </c>
    </row>
    <row r="773" spans="9:10" x14ac:dyDescent="0.3">
      <c r="I773" s="72">
        <v>385.5</v>
      </c>
      <c r="J773" s="70">
        <v>0.95220588235294068</v>
      </c>
    </row>
    <row r="774" spans="9:10" x14ac:dyDescent="0.3">
      <c r="I774" s="72">
        <v>386</v>
      </c>
      <c r="J774" s="70">
        <v>0.95220588235294068</v>
      </c>
    </row>
    <row r="775" spans="9:10" x14ac:dyDescent="0.3">
      <c r="I775" s="72">
        <v>386.5</v>
      </c>
      <c r="J775" s="70">
        <v>0.95220588235294068</v>
      </c>
    </row>
    <row r="776" spans="9:10" x14ac:dyDescent="0.3">
      <c r="I776" s="72">
        <v>387</v>
      </c>
      <c r="J776" s="70">
        <v>0.95220588235294068</v>
      </c>
    </row>
    <row r="777" spans="9:10" x14ac:dyDescent="0.3">
      <c r="I777" s="72">
        <v>387.5</v>
      </c>
      <c r="J777" s="70">
        <v>0.95220588235294068</v>
      </c>
    </row>
    <row r="778" spans="9:10" x14ac:dyDescent="0.3">
      <c r="I778" s="72">
        <v>388</v>
      </c>
      <c r="J778" s="70">
        <v>0.95220588235294068</v>
      </c>
    </row>
    <row r="779" spans="9:10" x14ac:dyDescent="0.3">
      <c r="I779" s="72">
        <v>388.5</v>
      </c>
      <c r="J779" s="70">
        <v>0.95220588235294068</v>
      </c>
    </row>
    <row r="780" spans="9:10" x14ac:dyDescent="0.3">
      <c r="I780" s="72">
        <v>389</v>
      </c>
      <c r="J780" s="70">
        <v>0.95220588235294068</v>
      </c>
    </row>
    <row r="781" spans="9:10" x14ac:dyDescent="0.3">
      <c r="I781" s="72">
        <v>389.5</v>
      </c>
      <c r="J781" s="70">
        <v>0.95220588235294068</v>
      </c>
    </row>
    <row r="782" spans="9:10" x14ac:dyDescent="0.3">
      <c r="I782" s="72">
        <v>390</v>
      </c>
      <c r="J782" s="70">
        <v>0.95220588235294068</v>
      </c>
    </row>
    <row r="783" spans="9:10" x14ac:dyDescent="0.3">
      <c r="I783" s="72">
        <v>390.5</v>
      </c>
      <c r="J783" s="70">
        <v>0.95220588235294068</v>
      </c>
    </row>
    <row r="784" spans="9:10" x14ac:dyDescent="0.3">
      <c r="I784" s="72">
        <v>391</v>
      </c>
      <c r="J784" s="70">
        <v>0.95220588235294068</v>
      </c>
    </row>
    <row r="785" spans="9:10" x14ac:dyDescent="0.3">
      <c r="I785" s="72">
        <v>391.5</v>
      </c>
      <c r="J785" s="70">
        <v>0.95220588235294068</v>
      </c>
    </row>
    <row r="786" spans="9:10" x14ac:dyDescent="0.3">
      <c r="I786" s="72">
        <v>392</v>
      </c>
      <c r="J786" s="70">
        <v>0.95220588235294068</v>
      </c>
    </row>
    <row r="787" spans="9:10" x14ac:dyDescent="0.3">
      <c r="I787" s="72">
        <v>392.5</v>
      </c>
      <c r="J787" s="70">
        <v>0.95220588235294068</v>
      </c>
    </row>
    <row r="788" spans="9:10" x14ac:dyDescent="0.3">
      <c r="I788" s="72">
        <v>393</v>
      </c>
      <c r="J788" s="70">
        <v>0.95220588235294068</v>
      </c>
    </row>
    <row r="789" spans="9:10" x14ac:dyDescent="0.3">
      <c r="I789" s="72">
        <v>393.5</v>
      </c>
      <c r="J789" s="70">
        <v>0.95220588235294068</v>
      </c>
    </row>
    <row r="790" spans="9:10" x14ac:dyDescent="0.3">
      <c r="I790" s="72">
        <v>394</v>
      </c>
      <c r="J790" s="70">
        <v>0.95220588235294068</v>
      </c>
    </row>
    <row r="791" spans="9:10" x14ac:dyDescent="0.3">
      <c r="I791" s="72">
        <v>394.5</v>
      </c>
      <c r="J791" s="70">
        <v>0.95220588235294068</v>
      </c>
    </row>
    <row r="792" spans="9:10" x14ac:dyDescent="0.3">
      <c r="I792" s="72">
        <v>395</v>
      </c>
      <c r="J792" s="70">
        <v>0.95220588235294068</v>
      </c>
    </row>
    <row r="793" spans="9:10" x14ac:dyDescent="0.3">
      <c r="I793" s="72">
        <v>395.5</v>
      </c>
      <c r="J793" s="70">
        <v>0.95220588235294068</v>
      </c>
    </row>
    <row r="794" spans="9:10" x14ac:dyDescent="0.3">
      <c r="I794" s="72">
        <v>396</v>
      </c>
      <c r="J794" s="70">
        <v>0.95220588235294068</v>
      </c>
    </row>
    <row r="795" spans="9:10" x14ac:dyDescent="0.3">
      <c r="I795" s="72">
        <v>396.5</v>
      </c>
      <c r="J795" s="70">
        <v>0.95220588235294068</v>
      </c>
    </row>
    <row r="796" spans="9:10" x14ac:dyDescent="0.3">
      <c r="I796" s="72">
        <v>397</v>
      </c>
      <c r="J796" s="70">
        <v>0.95220588235294068</v>
      </c>
    </row>
    <row r="797" spans="9:10" x14ac:dyDescent="0.3">
      <c r="I797" s="72">
        <v>397.5</v>
      </c>
      <c r="J797" s="70">
        <v>0.95220588235294068</v>
      </c>
    </row>
    <row r="798" spans="9:10" x14ac:dyDescent="0.3">
      <c r="I798" s="72">
        <v>398</v>
      </c>
      <c r="J798" s="70">
        <v>0.95220588235294068</v>
      </c>
    </row>
    <row r="799" spans="9:10" x14ac:dyDescent="0.3">
      <c r="I799" s="72">
        <v>398.5</v>
      </c>
      <c r="J799" s="70">
        <v>0.95220588235294068</v>
      </c>
    </row>
    <row r="800" spans="9:10" x14ac:dyDescent="0.3">
      <c r="I800" s="72">
        <v>399</v>
      </c>
      <c r="J800" s="70">
        <v>0.95220588235294068</v>
      </c>
    </row>
    <row r="801" spans="9:10" x14ac:dyDescent="0.3">
      <c r="I801" s="72">
        <v>399.5</v>
      </c>
      <c r="J801" s="70">
        <v>0.95220588235294068</v>
      </c>
    </row>
    <row r="802" spans="9:10" x14ac:dyDescent="0.3">
      <c r="I802" s="72">
        <v>400</v>
      </c>
      <c r="J802" s="70">
        <v>0.95220588235294068</v>
      </c>
    </row>
    <row r="803" spans="9:10" x14ac:dyDescent="0.3">
      <c r="I803" s="72">
        <v>400.5</v>
      </c>
      <c r="J803" s="70">
        <v>0.95220588235294068</v>
      </c>
    </row>
    <row r="804" spans="9:10" x14ac:dyDescent="0.3">
      <c r="I804" s="72">
        <v>401</v>
      </c>
      <c r="J804" s="70">
        <v>0.95220588235294068</v>
      </c>
    </row>
    <row r="805" spans="9:10" x14ac:dyDescent="0.3">
      <c r="I805" s="72">
        <v>401.5</v>
      </c>
      <c r="J805" s="70">
        <v>0.95220588235294068</v>
      </c>
    </row>
    <row r="806" spans="9:10" x14ac:dyDescent="0.3">
      <c r="I806" s="72">
        <v>402</v>
      </c>
      <c r="J806" s="70">
        <v>0.95220588235294068</v>
      </c>
    </row>
    <row r="807" spans="9:10" x14ac:dyDescent="0.3">
      <c r="I807" s="72">
        <v>402.5</v>
      </c>
      <c r="J807" s="70">
        <v>0.95220588235294068</v>
      </c>
    </row>
    <row r="808" spans="9:10" x14ac:dyDescent="0.3">
      <c r="I808" s="72">
        <v>403</v>
      </c>
      <c r="J808" s="70">
        <v>0.95220588235294068</v>
      </c>
    </row>
    <row r="809" spans="9:10" x14ac:dyDescent="0.3">
      <c r="I809" s="72">
        <v>403.5</v>
      </c>
      <c r="J809" s="70">
        <v>0.95404411764705832</v>
      </c>
    </row>
    <row r="810" spans="9:10" x14ac:dyDescent="0.3">
      <c r="I810" s="72">
        <v>404</v>
      </c>
      <c r="J810" s="70">
        <v>0.95404411764705832</v>
      </c>
    </row>
    <row r="811" spans="9:10" x14ac:dyDescent="0.3">
      <c r="I811" s="72">
        <v>404.5</v>
      </c>
      <c r="J811" s="70">
        <v>0.95404411764705832</v>
      </c>
    </row>
    <row r="812" spans="9:10" x14ac:dyDescent="0.3">
      <c r="I812" s="72">
        <v>405</v>
      </c>
      <c r="J812" s="70">
        <v>0.95404411764705832</v>
      </c>
    </row>
    <row r="813" spans="9:10" x14ac:dyDescent="0.3">
      <c r="I813" s="72">
        <v>405.5</v>
      </c>
      <c r="J813" s="70">
        <v>0.95404411764705832</v>
      </c>
    </row>
    <row r="814" spans="9:10" x14ac:dyDescent="0.3">
      <c r="I814" s="72">
        <v>406</v>
      </c>
      <c r="J814" s="70">
        <v>0.95404411764705832</v>
      </c>
    </row>
    <row r="815" spans="9:10" x14ac:dyDescent="0.3">
      <c r="I815" s="72">
        <v>406.5</v>
      </c>
      <c r="J815" s="70">
        <v>0.95404411764705832</v>
      </c>
    </row>
    <row r="816" spans="9:10" x14ac:dyDescent="0.3">
      <c r="I816" s="72">
        <v>407</v>
      </c>
      <c r="J816" s="70">
        <v>0.95404411764705832</v>
      </c>
    </row>
    <row r="817" spans="9:10" x14ac:dyDescent="0.3">
      <c r="I817" s="72">
        <v>407.5</v>
      </c>
      <c r="J817" s="70">
        <v>0.95404411764705832</v>
      </c>
    </row>
    <row r="818" spans="9:10" x14ac:dyDescent="0.3">
      <c r="I818" s="72">
        <v>408</v>
      </c>
      <c r="J818" s="70">
        <v>0.95404411764705832</v>
      </c>
    </row>
    <row r="819" spans="9:10" x14ac:dyDescent="0.3">
      <c r="I819" s="72">
        <v>408.5</v>
      </c>
      <c r="J819" s="70">
        <v>0.95404411764705832</v>
      </c>
    </row>
    <row r="820" spans="9:10" x14ac:dyDescent="0.3">
      <c r="I820" s="72">
        <v>409</v>
      </c>
      <c r="J820" s="70">
        <v>0.95404411764705832</v>
      </c>
    </row>
    <row r="821" spans="9:10" x14ac:dyDescent="0.3">
      <c r="I821" s="72">
        <v>409.5</v>
      </c>
      <c r="J821" s="70">
        <v>0.95404411764705832</v>
      </c>
    </row>
    <row r="822" spans="9:10" x14ac:dyDescent="0.3">
      <c r="I822" s="72">
        <v>410</v>
      </c>
      <c r="J822" s="70">
        <v>0.95404411764705832</v>
      </c>
    </row>
    <row r="823" spans="9:10" x14ac:dyDescent="0.3">
      <c r="I823" s="72">
        <v>410.5</v>
      </c>
      <c r="J823" s="70">
        <v>0.95404411764705832</v>
      </c>
    </row>
    <row r="824" spans="9:10" x14ac:dyDescent="0.3">
      <c r="I824" s="72">
        <v>411</v>
      </c>
      <c r="J824" s="70">
        <v>0.95404411764705832</v>
      </c>
    </row>
    <row r="825" spans="9:10" x14ac:dyDescent="0.3">
      <c r="I825" s="72">
        <v>411.5</v>
      </c>
      <c r="J825" s="70">
        <v>0.95404411764705832</v>
      </c>
    </row>
    <row r="826" spans="9:10" x14ac:dyDescent="0.3">
      <c r="I826" s="72">
        <v>412</v>
      </c>
      <c r="J826" s="70">
        <v>0.95404411764705832</v>
      </c>
    </row>
    <row r="827" spans="9:10" x14ac:dyDescent="0.3">
      <c r="I827" s="72">
        <v>412.5</v>
      </c>
      <c r="J827" s="70">
        <v>0.95404411764705832</v>
      </c>
    </row>
    <row r="828" spans="9:10" x14ac:dyDescent="0.3">
      <c r="I828" s="72">
        <v>413</v>
      </c>
      <c r="J828" s="70">
        <v>0.95404411764705832</v>
      </c>
    </row>
    <row r="829" spans="9:10" x14ac:dyDescent="0.3">
      <c r="I829" s="72">
        <v>413.5</v>
      </c>
      <c r="J829" s="70">
        <v>0.95404411764705832</v>
      </c>
    </row>
    <row r="830" spans="9:10" x14ac:dyDescent="0.3">
      <c r="I830" s="72">
        <v>414</v>
      </c>
      <c r="J830" s="70">
        <v>0.95404411764705832</v>
      </c>
    </row>
    <row r="831" spans="9:10" x14ac:dyDescent="0.3">
      <c r="I831" s="72">
        <v>414.5</v>
      </c>
      <c r="J831" s="70">
        <v>0.95404411764705832</v>
      </c>
    </row>
    <row r="832" spans="9:10" x14ac:dyDescent="0.3">
      <c r="I832" s="72">
        <v>415</v>
      </c>
      <c r="J832" s="70">
        <v>0.95404411764705832</v>
      </c>
    </row>
    <row r="833" spans="9:10" x14ac:dyDescent="0.3">
      <c r="I833" s="72">
        <v>415.5</v>
      </c>
      <c r="J833" s="70">
        <v>0.95404411764705832</v>
      </c>
    </row>
    <row r="834" spans="9:10" x14ac:dyDescent="0.3">
      <c r="I834" s="72">
        <v>416</v>
      </c>
      <c r="J834" s="70">
        <v>0.95404411764705832</v>
      </c>
    </row>
    <row r="835" spans="9:10" x14ac:dyDescent="0.3">
      <c r="I835" s="72">
        <v>416.5</v>
      </c>
      <c r="J835" s="70">
        <v>0.95404411764705832</v>
      </c>
    </row>
    <row r="836" spans="9:10" x14ac:dyDescent="0.3">
      <c r="I836" s="72">
        <v>417</v>
      </c>
      <c r="J836" s="70">
        <v>0.95404411764705832</v>
      </c>
    </row>
    <row r="837" spans="9:10" x14ac:dyDescent="0.3">
      <c r="I837" s="72">
        <v>417.5</v>
      </c>
      <c r="J837" s="70">
        <v>0.95404411764705832</v>
      </c>
    </row>
    <row r="838" spans="9:10" x14ac:dyDescent="0.3">
      <c r="I838" s="72">
        <v>418</v>
      </c>
      <c r="J838" s="70">
        <v>0.95404411764705832</v>
      </c>
    </row>
    <row r="839" spans="9:10" x14ac:dyDescent="0.3">
      <c r="I839" s="72">
        <v>418.5</v>
      </c>
      <c r="J839" s="70">
        <v>0.95404411764705832</v>
      </c>
    </row>
    <row r="840" spans="9:10" x14ac:dyDescent="0.3">
      <c r="I840" s="72">
        <v>419</v>
      </c>
      <c r="J840" s="70">
        <v>0.95404411764705832</v>
      </c>
    </row>
    <row r="841" spans="9:10" x14ac:dyDescent="0.3">
      <c r="I841" s="72">
        <v>419.5</v>
      </c>
      <c r="J841" s="70">
        <v>0.95404411764705832</v>
      </c>
    </row>
    <row r="842" spans="9:10" x14ac:dyDescent="0.3">
      <c r="I842" s="72">
        <v>420</v>
      </c>
      <c r="J842" s="70">
        <v>0.95404411764705832</v>
      </c>
    </row>
    <row r="843" spans="9:10" x14ac:dyDescent="0.3">
      <c r="I843" s="72">
        <v>420.5</v>
      </c>
      <c r="J843" s="70">
        <v>0.95404411764705832</v>
      </c>
    </row>
    <row r="844" spans="9:10" x14ac:dyDescent="0.3">
      <c r="I844" s="72">
        <v>421</v>
      </c>
      <c r="J844" s="70">
        <v>0.95404411764705832</v>
      </c>
    </row>
    <row r="845" spans="9:10" x14ac:dyDescent="0.3">
      <c r="I845" s="72">
        <v>421.5</v>
      </c>
      <c r="J845" s="70">
        <v>0.95404411764705832</v>
      </c>
    </row>
    <row r="846" spans="9:10" x14ac:dyDescent="0.3">
      <c r="I846" s="72">
        <v>422</v>
      </c>
      <c r="J846" s="70">
        <v>0.95404411764705832</v>
      </c>
    </row>
    <row r="847" spans="9:10" x14ac:dyDescent="0.3">
      <c r="I847" s="72">
        <v>422.5</v>
      </c>
      <c r="J847" s="70">
        <v>0.95404411764705832</v>
      </c>
    </row>
    <row r="848" spans="9:10" x14ac:dyDescent="0.3">
      <c r="I848" s="72">
        <v>423</v>
      </c>
      <c r="J848" s="70">
        <v>0.95404411764705832</v>
      </c>
    </row>
    <row r="849" spans="9:10" x14ac:dyDescent="0.3">
      <c r="I849" s="72">
        <v>423.5</v>
      </c>
      <c r="J849" s="70">
        <v>0.95404411764705832</v>
      </c>
    </row>
    <row r="850" spans="9:10" x14ac:dyDescent="0.3">
      <c r="I850" s="72">
        <v>424</v>
      </c>
      <c r="J850" s="70">
        <v>0.95404411764705832</v>
      </c>
    </row>
    <row r="851" spans="9:10" x14ac:dyDescent="0.3">
      <c r="I851" s="72">
        <v>424.5</v>
      </c>
      <c r="J851" s="70">
        <v>0.95404411764705832</v>
      </c>
    </row>
    <row r="852" spans="9:10" x14ac:dyDescent="0.3">
      <c r="I852" s="72">
        <v>425</v>
      </c>
      <c r="J852" s="70">
        <v>0.95404411764705832</v>
      </c>
    </row>
    <row r="853" spans="9:10" x14ac:dyDescent="0.3">
      <c r="I853" s="72">
        <v>425.5</v>
      </c>
      <c r="J853" s="70">
        <v>0.95404411764705832</v>
      </c>
    </row>
    <row r="854" spans="9:10" x14ac:dyDescent="0.3">
      <c r="I854" s="72">
        <v>426</v>
      </c>
      <c r="J854" s="70">
        <v>0.95404411764705832</v>
      </c>
    </row>
    <row r="855" spans="9:10" x14ac:dyDescent="0.3">
      <c r="I855" s="72">
        <v>426.5</v>
      </c>
      <c r="J855" s="70">
        <v>0.95404411764705832</v>
      </c>
    </row>
    <row r="856" spans="9:10" x14ac:dyDescent="0.3">
      <c r="I856" s="72">
        <v>427</v>
      </c>
      <c r="J856" s="70">
        <v>0.95404411764705832</v>
      </c>
    </row>
    <row r="857" spans="9:10" x14ac:dyDescent="0.3">
      <c r="I857" s="72">
        <v>427.5</v>
      </c>
      <c r="J857" s="70">
        <v>0.95404411764705832</v>
      </c>
    </row>
    <row r="858" spans="9:10" x14ac:dyDescent="0.3">
      <c r="I858" s="72">
        <v>428</v>
      </c>
      <c r="J858" s="70">
        <v>0.95404411764705832</v>
      </c>
    </row>
    <row r="859" spans="9:10" x14ac:dyDescent="0.3">
      <c r="I859" s="72">
        <v>428.5</v>
      </c>
      <c r="J859" s="70">
        <v>0.95404411764705832</v>
      </c>
    </row>
    <row r="860" spans="9:10" x14ac:dyDescent="0.3">
      <c r="I860" s="72">
        <v>429</v>
      </c>
      <c r="J860" s="70">
        <v>0.95404411764705832</v>
      </c>
    </row>
    <row r="861" spans="9:10" x14ac:dyDescent="0.3">
      <c r="I861" s="72">
        <v>429.5</v>
      </c>
      <c r="J861" s="70">
        <v>0.95404411764705832</v>
      </c>
    </row>
    <row r="862" spans="9:10" x14ac:dyDescent="0.3">
      <c r="I862" s="72">
        <v>430</v>
      </c>
      <c r="J862" s="70">
        <v>0.95404411764705832</v>
      </c>
    </row>
    <row r="863" spans="9:10" x14ac:dyDescent="0.3">
      <c r="I863" s="72">
        <v>430.5</v>
      </c>
      <c r="J863" s="70">
        <v>0.95404411764705832</v>
      </c>
    </row>
    <row r="864" spans="9:10" x14ac:dyDescent="0.3">
      <c r="I864" s="72">
        <v>431</v>
      </c>
      <c r="J864" s="70">
        <v>0.95404411764705832</v>
      </c>
    </row>
    <row r="865" spans="9:10" x14ac:dyDescent="0.3">
      <c r="I865" s="72">
        <v>431.5</v>
      </c>
      <c r="J865" s="70">
        <v>0.95404411764705832</v>
      </c>
    </row>
    <row r="866" spans="9:10" x14ac:dyDescent="0.3">
      <c r="I866" s="72">
        <v>432</v>
      </c>
      <c r="J866" s="70">
        <v>0.95588235294117596</v>
      </c>
    </row>
    <row r="867" spans="9:10" x14ac:dyDescent="0.3">
      <c r="I867" s="72">
        <v>432.5</v>
      </c>
      <c r="J867" s="70">
        <v>0.95588235294117596</v>
      </c>
    </row>
    <row r="868" spans="9:10" x14ac:dyDescent="0.3">
      <c r="I868" s="72">
        <v>433</v>
      </c>
      <c r="J868" s="70">
        <v>0.95588235294117596</v>
      </c>
    </row>
    <row r="869" spans="9:10" x14ac:dyDescent="0.3">
      <c r="I869" s="72">
        <v>433.5</v>
      </c>
      <c r="J869" s="70">
        <v>0.95588235294117596</v>
      </c>
    </row>
    <row r="870" spans="9:10" x14ac:dyDescent="0.3">
      <c r="I870" s="72">
        <v>434</v>
      </c>
      <c r="J870" s="70">
        <v>0.95588235294117596</v>
      </c>
    </row>
    <row r="871" spans="9:10" x14ac:dyDescent="0.3">
      <c r="I871" s="72">
        <v>434.5</v>
      </c>
      <c r="J871" s="70">
        <v>0.95588235294117596</v>
      </c>
    </row>
    <row r="872" spans="9:10" x14ac:dyDescent="0.3">
      <c r="I872" s="72">
        <v>435</v>
      </c>
      <c r="J872" s="70">
        <v>0.95588235294117596</v>
      </c>
    </row>
    <row r="873" spans="9:10" x14ac:dyDescent="0.3">
      <c r="I873" s="72">
        <v>435.5</v>
      </c>
      <c r="J873" s="70">
        <v>0.95588235294117596</v>
      </c>
    </row>
    <row r="874" spans="9:10" x14ac:dyDescent="0.3">
      <c r="I874" s="72">
        <v>436</v>
      </c>
      <c r="J874" s="70">
        <v>0.95588235294117596</v>
      </c>
    </row>
    <row r="875" spans="9:10" x14ac:dyDescent="0.3">
      <c r="I875" s="72">
        <v>436.5</v>
      </c>
      <c r="J875" s="70">
        <v>0.95588235294117596</v>
      </c>
    </row>
    <row r="876" spans="9:10" x14ac:dyDescent="0.3">
      <c r="I876" s="72">
        <v>437</v>
      </c>
      <c r="J876" s="70">
        <v>0.95588235294117596</v>
      </c>
    </row>
    <row r="877" spans="9:10" x14ac:dyDescent="0.3">
      <c r="I877" s="72">
        <v>437.5</v>
      </c>
      <c r="J877" s="70">
        <v>0.95588235294117596</v>
      </c>
    </row>
    <row r="878" spans="9:10" x14ac:dyDescent="0.3">
      <c r="I878" s="72">
        <v>438</v>
      </c>
      <c r="J878" s="70">
        <v>0.95588235294117596</v>
      </c>
    </row>
    <row r="879" spans="9:10" x14ac:dyDescent="0.3">
      <c r="I879" s="72">
        <v>438.5</v>
      </c>
      <c r="J879" s="70">
        <v>0.95588235294117596</v>
      </c>
    </row>
    <row r="880" spans="9:10" x14ac:dyDescent="0.3">
      <c r="I880" s="72">
        <v>439</v>
      </c>
      <c r="J880" s="70">
        <v>0.95588235294117596</v>
      </c>
    </row>
    <row r="881" spans="9:10" x14ac:dyDescent="0.3">
      <c r="I881" s="72">
        <v>439.5</v>
      </c>
      <c r="J881" s="70">
        <v>0.95588235294117596</v>
      </c>
    </row>
    <row r="882" spans="9:10" x14ac:dyDescent="0.3">
      <c r="I882" s="72">
        <v>440</v>
      </c>
      <c r="J882" s="70">
        <v>0.95588235294117596</v>
      </c>
    </row>
    <row r="883" spans="9:10" x14ac:dyDescent="0.3">
      <c r="I883" s="72">
        <v>440.5</v>
      </c>
      <c r="J883" s="70">
        <v>0.95588235294117596</v>
      </c>
    </row>
    <row r="884" spans="9:10" x14ac:dyDescent="0.3">
      <c r="I884" s="72">
        <v>441</v>
      </c>
      <c r="J884" s="70">
        <v>0.95588235294117596</v>
      </c>
    </row>
    <row r="885" spans="9:10" x14ac:dyDescent="0.3">
      <c r="I885" s="72">
        <v>441.5</v>
      </c>
      <c r="J885" s="70">
        <v>0.95588235294117596</v>
      </c>
    </row>
    <row r="886" spans="9:10" x14ac:dyDescent="0.3">
      <c r="I886" s="72">
        <v>442</v>
      </c>
      <c r="J886" s="70">
        <v>0.95588235294117596</v>
      </c>
    </row>
    <row r="887" spans="9:10" x14ac:dyDescent="0.3">
      <c r="I887" s="72">
        <v>442.5</v>
      </c>
      <c r="J887" s="70">
        <v>0.95588235294117596</v>
      </c>
    </row>
    <row r="888" spans="9:10" x14ac:dyDescent="0.3">
      <c r="I888" s="72">
        <v>443</v>
      </c>
      <c r="J888" s="70">
        <v>0.95588235294117596</v>
      </c>
    </row>
    <row r="889" spans="9:10" x14ac:dyDescent="0.3">
      <c r="I889" s="72">
        <v>443.5</v>
      </c>
      <c r="J889" s="70">
        <v>0.95588235294117596</v>
      </c>
    </row>
    <row r="890" spans="9:10" x14ac:dyDescent="0.3">
      <c r="I890" s="72">
        <v>444</v>
      </c>
      <c r="J890" s="70">
        <v>0.95588235294117596</v>
      </c>
    </row>
    <row r="891" spans="9:10" x14ac:dyDescent="0.3">
      <c r="I891" s="72">
        <v>444.5</v>
      </c>
      <c r="J891" s="70">
        <v>0.95588235294117596</v>
      </c>
    </row>
    <row r="892" spans="9:10" x14ac:dyDescent="0.3">
      <c r="I892" s="72">
        <v>445</v>
      </c>
      <c r="J892" s="70">
        <v>0.95588235294117596</v>
      </c>
    </row>
    <row r="893" spans="9:10" x14ac:dyDescent="0.3">
      <c r="I893" s="72">
        <v>445.5</v>
      </c>
      <c r="J893" s="70">
        <v>0.95588235294117596</v>
      </c>
    </row>
    <row r="894" spans="9:10" x14ac:dyDescent="0.3">
      <c r="I894" s="72">
        <v>446</v>
      </c>
      <c r="J894" s="70">
        <v>0.95588235294117596</v>
      </c>
    </row>
    <row r="895" spans="9:10" x14ac:dyDescent="0.3">
      <c r="I895" s="72">
        <v>446.5</v>
      </c>
      <c r="J895" s="70">
        <v>0.95588235294117596</v>
      </c>
    </row>
    <row r="896" spans="9:10" x14ac:dyDescent="0.3">
      <c r="I896" s="72">
        <v>447</v>
      </c>
      <c r="J896" s="70">
        <v>0.95588235294117596</v>
      </c>
    </row>
    <row r="897" spans="9:10" x14ac:dyDescent="0.3">
      <c r="I897" s="72">
        <v>447.5</v>
      </c>
      <c r="J897" s="70">
        <v>0.95588235294117596</v>
      </c>
    </row>
    <row r="898" spans="9:10" x14ac:dyDescent="0.3">
      <c r="I898" s="72">
        <v>448</v>
      </c>
      <c r="J898" s="70">
        <v>0.95588235294117596</v>
      </c>
    </row>
    <row r="899" spans="9:10" x14ac:dyDescent="0.3">
      <c r="I899" s="72">
        <v>448.5</v>
      </c>
      <c r="J899" s="70">
        <v>0.95588235294117596</v>
      </c>
    </row>
    <row r="900" spans="9:10" x14ac:dyDescent="0.3">
      <c r="I900" s="72">
        <v>449</v>
      </c>
      <c r="J900" s="70">
        <v>0.95588235294117596</v>
      </c>
    </row>
    <row r="901" spans="9:10" x14ac:dyDescent="0.3">
      <c r="I901" s="72">
        <v>449.5</v>
      </c>
      <c r="J901" s="70">
        <v>0.95588235294117596</v>
      </c>
    </row>
    <row r="902" spans="9:10" x14ac:dyDescent="0.3">
      <c r="I902" s="72">
        <v>450</v>
      </c>
      <c r="J902" s="70">
        <v>0.95588235294117596</v>
      </c>
    </row>
    <row r="903" spans="9:10" x14ac:dyDescent="0.3">
      <c r="I903" s="72">
        <v>450.5</v>
      </c>
      <c r="J903" s="70">
        <v>0.95588235294117596</v>
      </c>
    </row>
    <row r="904" spans="9:10" x14ac:dyDescent="0.3">
      <c r="I904" s="72">
        <v>451</v>
      </c>
      <c r="J904" s="70">
        <v>0.95588235294117596</v>
      </c>
    </row>
    <row r="905" spans="9:10" x14ac:dyDescent="0.3">
      <c r="I905" s="72">
        <v>451.5</v>
      </c>
      <c r="J905" s="70">
        <v>0.95588235294117596</v>
      </c>
    </row>
    <row r="906" spans="9:10" x14ac:dyDescent="0.3">
      <c r="I906" s="72">
        <v>452</v>
      </c>
      <c r="J906" s="70">
        <v>0.95588235294117596</v>
      </c>
    </row>
    <row r="907" spans="9:10" x14ac:dyDescent="0.3">
      <c r="I907" s="72">
        <v>452.5</v>
      </c>
      <c r="J907" s="70">
        <v>0.95588235294117596</v>
      </c>
    </row>
    <row r="908" spans="9:10" x14ac:dyDescent="0.3">
      <c r="I908" s="72">
        <v>453</v>
      </c>
      <c r="J908" s="70">
        <v>0.95588235294117596</v>
      </c>
    </row>
    <row r="909" spans="9:10" x14ac:dyDescent="0.3">
      <c r="I909" s="72">
        <v>453.5</v>
      </c>
      <c r="J909" s="70">
        <v>0.95588235294117596</v>
      </c>
    </row>
    <row r="910" spans="9:10" x14ac:dyDescent="0.3">
      <c r="I910" s="72">
        <v>454</v>
      </c>
      <c r="J910" s="70">
        <v>0.95588235294117596</v>
      </c>
    </row>
    <row r="911" spans="9:10" x14ac:dyDescent="0.3">
      <c r="I911" s="72">
        <v>454.5</v>
      </c>
      <c r="J911" s="70">
        <v>0.95588235294117596</v>
      </c>
    </row>
    <row r="912" spans="9:10" x14ac:dyDescent="0.3">
      <c r="I912" s="72">
        <v>455</v>
      </c>
      <c r="J912" s="70">
        <v>0.95588235294117596</v>
      </c>
    </row>
    <row r="913" spans="9:10" x14ac:dyDescent="0.3">
      <c r="I913" s="72">
        <v>455.5</v>
      </c>
      <c r="J913" s="70">
        <v>0.95588235294117596</v>
      </c>
    </row>
    <row r="914" spans="9:10" x14ac:dyDescent="0.3">
      <c r="I914" s="72">
        <v>456</v>
      </c>
      <c r="J914" s="70">
        <v>0.95588235294117596</v>
      </c>
    </row>
    <row r="915" spans="9:10" x14ac:dyDescent="0.3">
      <c r="I915" s="72">
        <v>456.5</v>
      </c>
      <c r="J915" s="70">
        <v>0.95588235294117596</v>
      </c>
    </row>
    <row r="916" spans="9:10" x14ac:dyDescent="0.3">
      <c r="I916" s="72">
        <v>457</v>
      </c>
      <c r="J916" s="70">
        <v>0.95588235294117596</v>
      </c>
    </row>
    <row r="917" spans="9:10" x14ac:dyDescent="0.3">
      <c r="I917" s="72">
        <v>457.5</v>
      </c>
      <c r="J917" s="70">
        <v>0.95588235294117596</v>
      </c>
    </row>
    <row r="918" spans="9:10" x14ac:dyDescent="0.3">
      <c r="I918" s="72">
        <v>458</v>
      </c>
      <c r="J918" s="70">
        <v>0.95588235294117596</v>
      </c>
    </row>
    <row r="919" spans="9:10" x14ac:dyDescent="0.3">
      <c r="I919" s="72">
        <v>458.5</v>
      </c>
      <c r="J919" s="70">
        <v>0.95588235294117596</v>
      </c>
    </row>
    <row r="920" spans="9:10" x14ac:dyDescent="0.3">
      <c r="I920" s="72">
        <v>459</v>
      </c>
      <c r="J920" s="70">
        <v>0.95588235294117596</v>
      </c>
    </row>
    <row r="921" spans="9:10" x14ac:dyDescent="0.3">
      <c r="I921" s="72">
        <v>459.5</v>
      </c>
      <c r="J921" s="70">
        <v>0.95588235294117596</v>
      </c>
    </row>
    <row r="922" spans="9:10" x14ac:dyDescent="0.3">
      <c r="I922" s="72">
        <v>460</v>
      </c>
      <c r="J922" s="70">
        <v>0.95588235294117596</v>
      </c>
    </row>
    <row r="923" spans="9:10" x14ac:dyDescent="0.3">
      <c r="I923" s="72">
        <v>460.5</v>
      </c>
      <c r="J923" s="70">
        <v>0.95588235294117596</v>
      </c>
    </row>
    <row r="924" spans="9:10" x14ac:dyDescent="0.3">
      <c r="I924" s="72">
        <v>461</v>
      </c>
      <c r="J924" s="70">
        <v>0.95588235294117596</v>
      </c>
    </row>
    <row r="925" spans="9:10" x14ac:dyDescent="0.3">
      <c r="I925" s="72">
        <v>461.5</v>
      </c>
      <c r="J925" s="70">
        <v>0.95772058823529371</v>
      </c>
    </row>
    <row r="926" spans="9:10" x14ac:dyDescent="0.3">
      <c r="I926" s="72">
        <v>462</v>
      </c>
      <c r="J926" s="70">
        <v>0.95772058823529371</v>
      </c>
    </row>
    <row r="927" spans="9:10" x14ac:dyDescent="0.3">
      <c r="I927" s="72">
        <v>462.5</v>
      </c>
      <c r="J927" s="70">
        <v>0.95772058823529371</v>
      </c>
    </row>
    <row r="928" spans="9:10" x14ac:dyDescent="0.3">
      <c r="I928" s="72">
        <v>463</v>
      </c>
      <c r="J928" s="70">
        <v>0.95772058823529371</v>
      </c>
    </row>
    <row r="929" spans="9:10" x14ac:dyDescent="0.3">
      <c r="I929" s="72">
        <v>463.5</v>
      </c>
      <c r="J929" s="70">
        <v>0.95772058823529371</v>
      </c>
    </row>
    <row r="930" spans="9:10" x14ac:dyDescent="0.3">
      <c r="I930" s="72">
        <v>464</v>
      </c>
      <c r="J930" s="70">
        <v>0.95772058823529371</v>
      </c>
    </row>
    <row r="931" spans="9:10" x14ac:dyDescent="0.3">
      <c r="I931" s="72">
        <v>464.5</v>
      </c>
      <c r="J931" s="70">
        <v>0.95772058823529371</v>
      </c>
    </row>
    <row r="932" spans="9:10" x14ac:dyDescent="0.3">
      <c r="I932" s="72">
        <v>465</v>
      </c>
      <c r="J932" s="70">
        <v>0.95772058823529371</v>
      </c>
    </row>
    <row r="933" spans="9:10" x14ac:dyDescent="0.3">
      <c r="I933" s="72">
        <v>465.5</v>
      </c>
      <c r="J933" s="70">
        <v>0.95772058823529371</v>
      </c>
    </row>
    <row r="934" spans="9:10" x14ac:dyDescent="0.3">
      <c r="I934" s="72">
        <v>466</v>
      </c>
      <c r="J934" s="70">
        <v>0.95772058823529371</v>
      </c>
    </row>
    <row r="935" spans="9:10" x14ac:dyDescent="0.3">
      <c r="I935" s="72">
        <v>466.5</v>
      </c>
      <c r="J935" s="70">
        <v>0.95772058823529371</v>
      </c>
    </row>
    <row r="936" spans="9:10" x14ac:dyDescent="0.3">
      <c r="I936" s="72">
        <v>467</v>
      </c>
      <c r="J936" s="70">
        <v>0.95772058823529371</v>
      </c>
    </row>
    <row r="937" spans="9:10" x14ac:dyDescent="0.3">
      <c r="I937" s="72">
        <v>467.5</v>
      </c>
      <c r="J937" s="70">
        <v>0.95772058823529371</v>
      </c>
    </row>
    <row r="938" spans="9:10" x14ac:dyDescent="0.3">
      <c r="I938" s="72">
        <v>468</v>
      </c>
      <c r="J938" s="70">
        <v>0.95772058823529371</v>
      </c>
    </row>
    <row r="939" spans="9:10" x14ac:dyDescent="0.3">
      <c r="I939" s="72">
        <v>468.5</v>
      </c>
      <c r="J939" s="70">
        <v>0.95772058823529371</v>
      </c>
    </row>
    <row r="940" spans="9:10" x14ac:dyDescent="0.3">
      <c r="I940" s="72">
        <v>469</v>
      </c>
      <c r="J940" s="70">
        <v>0.95772058823529371</v>
      </c>
    </row>
    <row r="941" spans="9:10" x14ac:dyDescent="0.3">
      <c r="I941" s="72">
        <v>469.5</v>
      </c>
      <c r="J941" s="70">
        <v>0.95772058823529371</v>
      </c>
    </row>
    <row r="942" spans="9:10" x14ac:dyDescent="0.3">
      <c r="I942" s="72">
        <v>470</v>
      </c>
      <c r="J942" s="70">
        <v>0.95772058823529371</v>
      </c>
    </row>
    <row r="943" spans="9:10" x14ac:dyDescent="0.3">
      <c r="I943" s="72">
        <v>470.5</v>
      </c>
      <c r="J943" s="70">
        <v>0.95772058823529371</v>
      </c>
    </row>
    <row r="944" spans="9:10" x14ac:dyDescent="0.3">
      <c r="I944" s="72">
        <v>471</v>
      </c>
      <c r="J944" s="70">
        <v>0.95772058823529371</v>
      </c>
    </row>
    <row r="945" spans="9:10" x14ac:dyDescent="0.3">
      <c r="I945" s="72">
        <v>471.5</v>
      </c>
      <c r="J945" s="70">
        <v>0.95772058823529371</v>
      </c>
    </row>
    <row r="946" spans="9:10" x14ac:dyDescent="0.3">
      <c r="I946" s="72">
        <v>472</v>
      </c>
      <c r="J946" s="70">
        <v>0.95772058823529371</v>
      </c>
    </row>
    <row r="947" spans="9:10" x14ac:dyDescent="0.3">
      <c r="I947" s="72">
        <v>472.5</v>
      </c>
      <c r="J947" s="70">
        <v>0.95772058823529371</v>
      </c>
    </row>
    <row r="948" spans="9:10" x14ac:dyDescent="0.3">
      <c r="I948" s="72">
        <v>473</v>
      </c>
      <c r="J948" s="70">
        <v>0.95772058823529371</v>
      </c>
    </row>
    <row r="949" spans="9:10" x14ac:dyDescent="0.3">
      <c r="I949" s="72">
        <v>473.5</v>
      </c>
      <c r="J949" s="70">
        <v>0.95772058823529371</v>
      </c>
    </row>
    <row r="950" spans="9:10" x14ac:dyDescent="0.3">
      <c r="I950" s="72">
        <v>474</v>
      </c>
      <c r="J950" s="70">
        <v>0.95772058823529371</v>
      </c>
    </row>
    <row r="951" spans="9:10" x14ac:dyDescent="0.3">
      <c r="I951" s="72">
        <v>474.5</v>
      </c>
      <c r="J951" s="70">
        <v>0.95772058823529371</v>
      </c>
    </row>
    <row r="952" spans="9:10" x14ac:dyDescent="0.3">
      <c r="I952" s="72">
        <v>475</v>
      </c>
      <c r="J952" s="70">
        <v>0.95772058823529371</v>
      </c>
    </row>
    <row r="953" spans="9:10" x14ac:dyDescent="0.3">
      <c r="I953" s="72">
        <v>475.5</v>
      </c>
      <c r="J953" s="70">
        <v>0.95772058823529371</v>
      </c>
    </row>
    <row r="954" spans="9:10" x14ac:dyDescent="0.3">
      <c r="I954" s="72">
        <v>476</v>
      </c>
      <c r="J954" s="70">
        <v>0.95772058823529371</v>
      </c>
    </row>
    <row r="955" spans="9:10" x14ac:dyDescent="0.3">
      <c r="I955" s="72">
        <v>476.5</v>
      </c>
      <c r="J955" s="70">
        <v>0.95772058823529371</v>
      </c>
    </row>
    <row r="956" spans="9:10" x14ac:dyDescent="0.3">
      <c r="I956" s="72">
        <v>477</v>
      </c>
      <c r="J956" s="70">
        <v>0.95772058823529371</v>
      </c>
    </row>
    <row r="957" spans="9:10" x14ac:dyDescent="0.3">
      <c r="I957" s="72">
        <v>477.5</v>
      </c>
      <c r="J957" s="70">
        <v>0.95772058823529371</v>
      </c>
    </row>
    <row r="958" spans="9:10" x14ac:dyDescent="0.3">
      <c r="I958" s="72">
        <v>478</v>
      </c>
      <c r="J958" s="70">
        <v>0.95772058823529371</v>
      </c>
    </row>
    <row r="959" spans="9:10" x14ac:dyDescent="0.3">
      <c r="I959" s="72">
        <v>478.5</v>
      </c>
      <c r="J959" s="70">
        <v>0.95772058823529371</v>
      </c>
    </row>
    <row r="960" spans="9:10" x14ac:dyDescent="0.3">
      <c r="I960" s="72">
        <v>479</v>
      </c>
      <c r="J960" s="70">
        <v>0.95772058823529371</v>
      </c>
    </row>
    <row r="961" spans="9:10" x14ac:dyDescent="0.3">
      <c r="I961" s="72">
        <v>479.5</v>
      </c>
      <c r="J961" s="70">
        <v>0.95772058823529371</v>
      </c>
    </row>
    <row r="962" spans="9:10" x14ac:dyDescent="0.3">
      <c r="I962" s="72">
        <v>480</v>
      </c>
      <c r="J962" s="70">
        <v>0.95772058823529371</v>
      </c>
    </row>
    <row r="963" spans="9:10" x14ac:dyDescent="0.3">
      <c r="I963" s="72">
        <v>480.5</v>
      </c>
      <c r="J963" s="70">
        <v>0.95772058823529371</v>
      </c>
    </row>
    <row r="964" spans="9:10" x14ac:dyDescent="0.3">
      <c r="I964" s="72">
        <v>481</v>
      </c>
      <c r="J964" s="70">
        <v>0.95772058823529371</v>
      </c>
    </row>
    <row r="965" spans="9:10" x14ac:dyDescent="0.3">
      <c r="I965" s="72">
        <v>481.5</v>
      </c>
      <c r="J965" s="70">
        <v>0.95772058823529371</v>
      </c>
    </row>
    <row r="966" spans="9:10" x14ac:dyDescent="0.3">
      <c r="I966" s="72">
        <v>482</v>
      </c>
      <c r="J966" s="70">
        <v>0.95772058823529371</v>
      </c>
    </row>
    <row r="967" spans="9:10" x14ac:dyDescent="0.3">
      <c r="I967" s="72">
        <v>482.5</v>
      </c>
      <c r="J967" s="70">
        <v>0.95772058823529371</v>
      </c>
    </row>
    <row r="968" spans="9:10" x14ac:dyDescent="0.3">
      <c r="I968" s="72">
        <v>483</v>
      </c>
      <c r="J968" s="70">
        <v>0.95772058823529371</v>
      </c>
    </row>
    <row r="969" spans="9:10" x14ac:dyDescent="0.3">
      <c r="I969" s="72">
        <v>483.5</v>
      </c>
      <c r="J969" s="70">
        <v>0.95772058823529371</v>
      </c>
    </row>
    <row r="970" spans="9:10" x14ac:dyDescent="0.3">
      <c r="I970" s="72">
        <v>484</v>
      </c>
      <c r="J970" s="70">
        <v>0.95772058823529371</v>
      </c>
    </row>
    <row r="971" spans="9:10" x14ac:dyDescent="0.3">
      <c r="I971" s="72">
        <v>484.5</v>
      </c>
      <c r="J971" s="70">
        <v>0.95772058823529371</v>
      </c>
    </row>
    <row r="972" spans="9:10" x14ac:dyDescent="0.3">
      <c r="I972" s="72">
        <v>485</v>
      </c>
      <c r="J972" s="70">
        <v>0.95772058823529371</v>
      </c>
    </row>
    <row r="973" spans="9:10" x14ac:dyDescent="0.3">
      <c r="I973" s="72">
        <v>485.5</v>
      </c>
      <c r="J973" s="70">
        <v>0.95772058823529371</v>
      </c>
    </row>
    <row r="974" spans="9:10" x14ac:dyDescent="0.3">
      <c r="I974" s="72">
        <v>486</v>
      </c>
      <c r="J974" s="70">
        <v>0.95772058823529371</v>
      </c>
    </row>
    <row r="975" spans="9:10" x14ac:dyDescent="0.3">
      <c r="I975" s="72">
        <v>486.5</v>
      </c>
      <c r="J975" s="70">
        <v>0.95772058823529371</v>
      </c>
    </row>
    <row r="976" spans="9:10" x14ac:dyDescent="0.3">
      <c r="I976" s="72">
        <v>487</v>
      </c>
      <c r="J976" s="70">
        <v>0.95772058823529371</v>
      </c>
    </row>
    <row r="977" spans="9:10" x14ac:dyDescent="0.3">
      <c r="I977" s="72">
        <v>487.5</v>
      </c>
      <c r="J977" s="70">
        <v>0.95772058823529371</v>
      </c>
    </row>
    <row r="978" spans="9:10" x14ac:dyDescent="0.3">
      <c r="I978" s="72">
        <v>488</v>
      </c>
      <c r="J978" s="70">
        <v>0.95772058823529371</v>
      </c>
    </row>
    <row r="979" spans="9:10" x14ac:dyDescent="0.3">
      <c r="I979" s="72">
        <v>488.5</v>
      </c>
      <c r="J979" s="70">
        <v>0.95772058823529371</v>
      </c>
    </row>
    <row r="980" spans="9:10" x14ac:dyDescent="0.3">
      <c r="I980" s="72">
        <v>489</v>
      </c>
      <c r="J980" s="70">
        <v>0.95772058823529371</v>
      </c>
    </row>
    <row r="981" spans="9:10" x14ac:dyDescent="0.3">
      <c r="I981" s="72">
        <v>489.5</v>
      </c>
      <c r="J981" s="70">
        <v>0.95772058823529371</v>
      </c>
    </row>
    <row r="982" spans="9:10" x14ac:dyDescent="0.3">
      <c r="I982" s="72">
        <v>490</v>
      </c>
      <c r="J982" s="70">
        <v>0.95772058823529371</v>
      </c>
    </row>
    <row r="983" spans="9:10" x14ac:dyDescent="0.3">
      <c r="I983" s="72">
        <v>490.5</v>
      </c>
      <c r="J983" s="70">
        <v>0.95772058823529371</v>
      </c>
    </row>
    <row r="984" spans="9:10" x14ac:dyDescent="0.3">
      <c r="I984" s="72">
        <v>491</v>
      </c>
      <c r="J984" s="70">
        <v>0.95772058823529371</v>
      </c>
    </row>
    <row r="985" spans="9:10" x14ac:dyDescent="0.3">
      <c r="I985" s="72">
        <v>491.5</v>
      </c>
      <c r="J985" s="70">
        <v>0.95772058823529371</v>
      </c>
    </row>
    <row r="986" spans="9:10" x14ac:dyDescent="0.3">
      <c r="I986" s="72">
        <v>492</v>
      </c>
      <c r="J986" s="70">
        <v>0.95772058823529371</v>
      </c>
    </row>
    <row r="987" spans="9:10" x14ac:dyDescent="0.3">
      <c r="I987" s="72">
        <v>492.5</v>
      </c>
      <c r="J987" s="70">
        <v>0.95955882352941135</v>
      </c>
    </row>
    <row r="988" spans="9:10" x14ac:dyDescent="0.3">
      <c r="I988" s="72">
        <v>493</v>
      </c>
      <c r="J988" s="70">
        <v>0.95955882352941135</v>
      </c>
    </row>
    <row r="989" spans="9:10" x14ac:dyDescent="0.3">
      <c r="I989" s="72">
        <v>493.5</v>
      </c>
      <c r="J989" s="70">
        <v>0.95955882352941135</v>
      </c>
    </row>
    <row r="990" spans="9:10" x14ac:dyDescent="0.3">
      <c r="I990" s="72">
        <v>494</v>
      </c>
      <c r="J990" s="70">
        <v>0.95955882352941135</v>
      </c>
    </row>
    <row r="991" spans="9:10" x14ac:dyDescent="0.3">
      <c r="I991" s="72">
        <v>494.5</v>
      </c>
      <c r="J991" s="70">
        <v>0.95955882352941135</v>
      </c>
    </row>
    <row r="992" spans="9:10" x14ac:dyDescent="0.3">
      <c r="I992" s="72">
        <v>495</v>
      </c>
      <c r="J992" s="70">
        <v>0.95955882352941135</v>
      </c>
    </row>
    <row r="993" spans="9:10" x14ac:dyDescent="0.3">
      <c r="I993" s="72">
        <v>495.5</v>
      </c>
      <c r="J993" s="70">
        <v>0.95955882352941135</v>
      </c>
    </row>
    <row r="994" spans="9:10" x14ac:dyDescent="0.3">
      <c r="I994" s="72">
        <v>496</v>
      </c>
      <c r="J994" s="70">
        <v>0.95955882352941135</v>
      </c>
    </row>
    <row r="995" spans="9:10" x14ac:dyDescent="0.3">
      <c r="I995" s="72">
        <v>496.5</v>
      </c>
      <c r="J995" s="70">
        <v>0.95955882352941135</v>
      </c>
    </row>
    <row r="996" spans="9:10" x14ac:dyDescent="0.3">
      <c r="I996" s="72">
        <v>497</v>
      </c>
      <c r="J996" s="70">
        <v>0.95955882352941135</v>
      </c>
    </row>
    <row r="997" spans="9:10" x14ac:dyDescent="0.3">
      <c r="I997" s="72">
        <v>497.5</v>
      </c>
      <c r="J997" s="70">
        <v>0.95955882352941135</v>
      </c>
    </row>
    <row r="998" spans="9:10" x14ac:dyDescent="0.3">
      <c r="I998" s="72">
        <v>498</v>
      </c>
      <c r="J998" s="70">
        <v>0.95955882352941135</v>
      </c>
    </row>
    <row r="999" spans="9:10" x14ac:dyDescent="0.3">
      <c r="I999" s="72">
        <v>498.5</v>
      </c>
      <c r="J999" s="70">
        <v>0.95955882352941135</v>
      </c>
    </row>
    <row r="1000" spans="9:10" x14ac:dyDescent="0.3">
      <c r="I1000" s="72">
        <v>499</v>
      </c>
      <c r="J1000" s="70">
        <v>0.95955882352941135</v>
      </c>
    </row>
    <row r="1001" spans="9:10" x14ac:dyDescent="0.3">
      <c r="I1001" s="72">
        <v>499.5</v>
      </c>
      <c r="J1001" s="70">
        <v>0.95955882352941135</v>
      </c>
    </row>
    <row r="1002" spans="9:10" x14ac:dyDescent="0.3">
      <c r="I1002" s="72">
        <v>500</v>
      </c>
      <c r="J1002" s="70">
        <v>0.95955882352941135</v>
      </c>
    </row>
    <row r="1003" spans="9:10" x14ac:dyDescent="0.3">
      <c r="I1003" s="72">
        <v>500.5</v>
      </c>
      <c r="J1003" s="70">
        <v>0.95955882352941135</v>
      </c>
    </row>
    <row r="1004" spans="9:10" x14ac:dyDescent="0.3">
      <c r="I1004" s="72">
        <v>501</v>
      </c>
      <c r="J1004" s="70">
        <v>0.95955882352941135</v>
      </c>
    </row>
    <row r="1005" spans="9:10" x14ac:dyDescent="0.3">
      <c r="I1005" s="72">
        <v>501.5</v>
      </c>
      <c r="J1005" s="70">
        <v>0.95955882352941135</v>
      </c>
    </row>
    <row r="1006" spans="9:10" x14ac:dyDescent="0.3">
      <c r="I1006" s="72">
        <v>502</v>
      </c>
      <c r="J1006" s="70">
        <v>0.95955882352941135</v>
      </c>
    </row>
    <row r="1007" spans="9:10" x14ac:dyDescent="0.3">
      <c r="I1007" s="72">
        <v>502.5</v>
      </c>
      <c r="J1007" s="70">
        <v>0.95955882352941135</v>
      </c>
    </row>
    <row r="1008" spans="9:10" x14ac:dyDescent="0.3">
      <c r="I1008" s="72">
        <v>503</v>
      </c>
      <c r="J1008" s="70">
        <v>0.95955882352941135</v>
      </c>
    </row>
    <row r="1009" spans="9:10" x14ac:dyDescent="0.3">
      <c r="I1009" s="72">
        <v>503.5</v>
      </c>
      <c r="J1009" s="70">
        <v>0.95955882352941135</v>
      </c>
    </row>
    <row r="1010" spans="9:10" x14ac:dyDescent="0.3">
      <c r="I1010" s="72">
        <v>504</v>
      </c>
      <c r="J1010" s="70">
        <v>0.95955882352941135</v>
      </c>
    </row>
    <row r="1011" spans="9:10" x14ac:dyDescent="0.3">
      <c r="I1011" s="72">
        <v>504.5</v>
      </c>
      <c r="J1011" s="70">
        <v>0.95955882352941135</v>
      </c>
    </row>
    <row r="1012" spans="9:10" x14ac:dyDescent="0.3">
      <c r="I1012" s="72">
        <v>505</v>
      </c>
      <c r="J1012" s="70">
        <v>0.95955882352941135</v>
      </c>
    </row>
    <row r="1013" spans="9:10" x14ac:dyDescent="0.3">
      <c r="I1013" s="72">
        <v>505.5</v>
      </c>
      <c r="J1013" s="70">
        <v>0.95955882352941135</v>
      </c>
    </row>
    <row r="1014" spans="9:10" x14ac:dyDescent="0.3">
      <c r="I1014" s="72">
        <v>506</v>
      </c>
      <c r="J1014" s="70">
        <v>0.95955882352941135</v>
      </c>
    </row>
    <row r="1015" spans="9:10" x14ac:dyDescent="0.3">
      <c r="I1015" s="72">
        <v>506.5</v>
      </c>
      <c r="J1015" s="70">
        <v>0.95955882352941135</v>
      </c>
    </row>
    <row r="1016" spans="9:10" x14ac:dyDescent="0.3">
      <c r="I1016" s="72">
        <v>507</v>
      </c>
      <c r="J1016" s="70">
        <v>0.95955882352941135</v>
      </c>
    </row>
    <row r="1017" spans="9:10" x14ac:dyDescent="0.3">
      <c r="I1017" s="72">
        <v>507.5</v>
      </c>
      <c r="J1017" s="70">
        <v>0.95955882352941135</v>
      </c>
    </row>
    <row r="1018" spans="9:10" x14ac:dyDescent="0.3">
      <c r="I1018" s="72">
        <v>508</v>
      </c>
      <c r="J1018" s="70">
        <v>0.95955882352941135</v>
      </c>
    </row>
    <row r="1019" spans="9:10" x14ac:dyDescent="0.3">
      <c r="I1019" s="72">
        <v>508.5</v>
      </c>
      <c r="J1019" s="70">
        <v>0.95955882352941135</v>
      </c>
    </row>
    <row r="1020" spans="9:10" x14ac:dyDescent="0.3">
      <c r="I1020" s="72">
        <v>509</v>
      </c>
      <c r="J1020" s="70">
        <v>0.95955882352941135</v>
      </c>
    </row>
    <row r="1021" spans="9:10" x14ac:dyDescent="0.3">
      <c r="I1021" s="72">
        <v>509.5</v>
      </c>
      <c r="J1021" s="70">
        <v>0.95955882352941135</v>
      </c>
    </row>
    <row r="1022" spans="9:10" x14ac:dyDescent="0.3">
      <c r="I1022" s="72">
        <v>510</v>
      </c>
      <c r="J1022" s="70">
        <v>0.95955882352941135</v>
      </c>
    </row>
    <row r="1023" spans="9:10" x14ac:dyDescent="0.3">
      <c r="I1023" s="72">
        <v>510.5</v>
      </c>
      <c r="J1023" s="70">
        <v>0.95955882352941135</v>
      </c>
    </row>
    <row r="1024" spans="9:10" x14ac:dyDescent="0.3">
      <c r="I1024" s="72">
        <v>511</v>
      </c>
      <c r="J1024" s="70">
        <v>0.95955882352941135</v>
      </c>
    </row>
    <row r="1025" spans="9:10" x14ac:dyDescent="0.3">
      <c r="I1025" s="72">
        <v>511.5</v>
      </c>
      <c r="J1025" s="70">
        <v>0.95955882352941135</v>
      </c>
    </row>
    <row r="1026" spans="9:10" x14ac:dyDescent="0.3">
      <c r="I1026" s="72">
        <v>512</v>
      </c>
      <c r="J1026" s="70">
        <v>0.95955882352941135</v>
      </c>
    </row>
    <row r="1027" spans="9:10" x14ac:dyDescent="0.3">
      <c r="I1027" s="72">
        <v>512.5</v>
      </c>
      <c r="J1027" s="70">
        <v>0.95955882352941135</v>
      </c>
    </row>
    <row r="1028" spans="9:10" x14ac:dyDescent="0.3">
      <c r="I1028" s="72">
        <v>513</v>
      </c>
      <c r="J1028" s="70">
        <v>0.95955882352941135</v>
      </c>
    </row>
    <row r="1029" spans="9:10" x14ac:dyDescent="0.3">
      <c r="I1029" s="72">
        <v>513.5</v>
      </c>
      <c r="J1029" s="70">
        <v>0.95955882352941135</v>
      </c>
    </row>
    <row r="1030" spans="9:10" x14ac:dyDescent="0.3">
      <c r="I1030" s="72">
        <v>514</v>
      </c>
      <c r="J1030" s="70">
        <v>0.95955882352941135</v>
      </c>
    </row>
    <row r="1031" spans="9:10" x14ac:dyDescent="0.3">
      <c r="I1031" s="72">
        <v>514.5</v>
      </c>
      <c r="J1031" s="70">
        <v>0.95955882352941135</v>
      </c>
    </row>
    <row r="1032" spans="9:10" x14ac:dyDescent="0.3">
      <c r="I1032" s="72">
        <v>515</v>
      </c>
      <c r="J1032" s="70">
        <v>0.95955882352941135</v>
      </c>
    </row>
    <row r="1033" spans="9:10" x14ac:dyDescent="0.3">
      <c r="I1033" s="72">
        <v>515.5</v>
      </c>
      <c r="J1033" s="70">
        <v>0.95955882352941135</v>
      </c>
    </row>
    <row r="1034" spans="9:10" x14ac:dyDescent="0.3">
      <c r="I1034" s="72">
        <v>516</v>
      </c>
      <c r="J1034" s="70">
        <v>0.95955882352941135</v>
      </c>
    </row>
    <row r="1035" spans="9:10" x14ac:dyDescent="0.3">
      <c r="I1035" s="72">
        <v>516.5</v>
      </c>
      <c r="J1035" s="70">
        <v>0.95955882352941135</v>
      </c>
    </row>
    <row r="1036" spans="9:10" x14ac:dyDescent="0.3">
      <c r="I1036" s="72">
        <v>517</v>
      </c>
      <c r="J1036" s="70">
        <v>0.95955882352941135</v>
      </c>
    </row>
    <row r="1037" spans="9:10" x14ac:dyDescent="0.3">
      <c r="I1037" s="72">
        <v>517.5</v>
      </c>
      <c r="J1037" s="70">
        <v>0.95955882352941135</v>
      </c>
    </row>
    <row r="1038" spans="9:10" x14ac:dyDescent="0.3">
      <c r="I1038" s="72">
        <v>518</v>
      </c>
      <c r="J1038" s="70">
        <v>0.95955882352941135</v>
      </c>
    </row>
    <row r="1039" spans="9:10" x14ac:dyDescent="0.3">
      <c r="I1039" s="72">
        <v>518.5</v>
      </c>
      <c r="J1039" s="70">
        <v>0.95955882352941135</v>
      </c>
    </row>
    <row r="1040" spans="9:10" x14ac:dyDescent="0.3">
      <c r="I1040" s="72">
        <v>519</v>
      </c>
      <c r="J1040" s="70">
        <v>0.95955882352941135</v>
      </c>
    </row>
    <row r="1041" spans="9:10" x14ac:dyDescent="0.3">
      <c r="I1041" s="72">
        <v>519.5</v>
      </c>
      <c r="J1041" s="70">
        <v>0.95955882352941135</v>
      </c>
    </row>
    <row r="1042" spans="9:10" x14ac:dyDescent="0.3">
      <c r="I1042" s="72">
        <v>520</v>
      </c>
      <c r="J1042" s="70">
        <v>0.95955882352941135</v>
      </c>
    </row>
    <row r="1043" spans="9:10" x14ac:dyDescent="0.3">
      <c r="I1043" s="72">
        <v>520.5</v>
      </c>
      <c r="J1043" s="70">
        <v>0.95955882352941135</v>
      </c>
    </row>
    <row r="1044" spans="9:10" x14ac:dyDescent="0.3">
      <c r="I1044" s="72">
        <v>521</v>
      </c>
      <c r="J1044" s="70">
        <v>0.95955882352941135</v>
      </c>
    </row>
    <row r="1045" spans="9:10" x14ac:dyDescent="0.3">
      <c r="I1045" s="72">
        <v>521.5</v>
      </c>
      <c r="J1045" s="70">
        <v>0.95955882352941135</v>
      </c>
    </row>
    <row r="1046" spans="9:10" x14ac:dyDescent="0.3">
      <c r="I1046" s="72">
        <v>522</v>
      </c>
      <c r="J1046" s="70">
        <v>0.95955882352941135</v>
      </c>
    </row>
    <row r="1047" spans="9:10" x14ac:dyDescent="0.3">
      <c r="I1047" s="72">
        <v>522.5</v>
      </c>
      <c r="J1047" s="70">
        <v>0.95955882352941135</v>
      </c>
    </row>
    <row r="1048" spans="9:10" x14ac:dyDescent="0.3">
      <c r="I1048" s="72">
        <v>523</v>
      </c>
      <c r="J1048" s="70">
        <v>0.95955882352941135</v>
      </c>
    </row>
    <row r="1049" spans="9:10" x14ac:dyDescent="0.3">
      <c r="I1049" s="72">
        <v>523.5</v>
      </c>
      <c r="J1049" s="70">
        <v>0.95955882352941135</v>
      </c>
    </row>
    <row r="1050" spans="9:10" x14ac:dyDescent="0.3">
      <c r="I1050" s="72">
        <v>524</v>
      </c>
      <c r="J1050" s="70">
        <v>0.95955882352941135</v>
      </c>
    </row>
    <row r="1051" spans="9:10" x14ac:dyDescent="0.3">
      <c r="I1051" s="72">
        <v>524.5</v>
      </c>
      <c r="J1051" s="70">
        <v>0.96139705882352899</v>
      </c>
    </row>
    <row r="1052" spans="9:10" x14ac:dyDescent="0.3">
      <c r="I1052" s="72">
        <v>525</v>
      </c>
      <c r="J1052" s="70">
        <v>0.96139705882352899</v>
      </c>
    </row>
    <row r="1053" spans="9:10" x14ac:dyDescent="0.3">
      <c r="I1053" s="72">
        <v>525.5</v>
      </c>
      <c r="J1053" s="70">
        <v>0.96139705882352899</v>
      </c>
    </row>
    <row r="1054" spans="9:10" x14ac:dyDescent="0.3">
      <c r="I1054" s="72">
        <v>526</v>
      </c>
      <c r="J1054" s="70">
        <v>0.96139705882352899</v>
      </c>
    </row>
    <row r="1055" spans="9:10" x14ac:dyDescent="0.3">
      <c r="I1055" s="72">
        <v>526.5</v>
      </c>
      <c r="J1055" s="70">
        <v>0.96139705882352899</v>
      </c>
    </row>
    <row r="1056" spans="9:10" x14ac:dyDescent="0.3">
      <c r="I1056" s="72">
        <v>527</v>
      </c>
      <c r="J1056" s="70">
        <v>0.96139705882352899</v>
      </c>
    </row>
    <row r="1057" spans="9:10" x14ac:dyDescent="0.3">
      <c r="I1057" s="72">
        <v>527.5</v>
      </c>
      <c r="J1057" s="70">
        <v>0.96139705882352899</v>
      </c>
    </row>
    <row r="1058" spans="9:10" x14ac:dyDescent="0.3">
      <c r="I1058" s="72">
        <v>528</v>
      </c>
      <c r="J1058" s="70">
        <v>0.96139705882352899</v>
      </c>
    </row>
    <row r="1059" spans="9:10" x14ac:dyDescent="0.3">
      <c r="I1059" s="72">
        <v>528.5</v>
      </c>
      <c r="J1059" s="70">
        <v>0.96139705882352899</v>
      </c>
    </row>
    <row r="1060" spans="9:10" x14ac:dyDescent="0.3">
      <c r="I1060" s="72">
        <v>529</v>
      </c>
      <c r="J1060" s="70">
        <v>0.96139705882352899</v>
      </c>
    </row>
    <row r="1061" spans="9:10" x14ac:dyDescent="0.3">
      <c r="I1061" s="72">
        <v>529.5</v>
      </c>
      <c r="J1061" s="70">
        <v>0.96139705882352899</v>
      </c>
    </row>
    <row r="1062" spans="9:10" x14ac:dyDescent="0.3">
      <c r="I1062" s="72">
        <v>530</v>
      </c>
      <c r="J1062" s="70">
        <v>0.96139705882352899</v>
      </c>
    </row>
    <row r="1063" spans="9:10" x14ac:dyDescent="0.3">
      <c r="I1063" s="72">
        <v>530.5</v>
      </c>
      <c r="J1063" s="70">
        <v>0.96139705882352899</v>
      </c>
    </row>
    <row r="1064" spans="9:10" x14ac:dyDescent="0.3">
      <c r="I1064" s="72">
        <v>531</v>
      </c>
      <c r="J1064" s="70">
        <v>0.96139705882352899</v>
      </c>
    </row>
    <row r="1065" spans="9:10" x14ac:dyDescent="0.3">
      <c r="I1065" s="72">
        <v>531.5</v>
      </c>
      <c r="J1065" s="70">
        <v>0.96139705882352899</v>
      </c>
    </row>
    <row r="1066" spans="9:10" x14ac:dyDescent="0.3">
      <c r="I1066" s="72">
        <v>532</v>
      </c>
      <c r="J1066" s="70">
        <v>0.96139705882352899</v>
      </c>
    </row>
    <row r="1067" spans="9:10" x14ac:dyDescent="0.3">
      <c r="I1067" s="72">
        <v>532.5</v>
      </c>
      <c r="J1067" s="70">
        <v>0.96139705882352899</v>
      </c>
    </row>
    <row r="1068" spans="9:10" x14ac:dyDescent="0.3">
      <c r="I1068" s="72">
        <v>533</v>
      </c>
      <c r="J1068" s="70">
        <v>0.96139705882352899</v>
      </c>
    </row>
    <row r="1069" spans="9:10" x14ac:dyDescent="0.3">
      <c r="I1069" s="72">
        <v>533.5</v>
      </c>
      <c r="J1069" s="70">
        <v>0.96139705882352899</v>
      </c>
    </row>
    <row r="1070" spans="9:10" x14ac:dyDescent="0.3">
      <c r="I1070" s="72">
        <v>534</v>
      </c>
      <c r="J1070" s="70">
        <v>0.96139705882352899</v>
      </c>
    </row>
    <row r="1071" spans="9:10" x14ac:dyDescent="0.3">
      <c r="I1071" s="72">
        <v>534.5</v>
      </c>
      <c r="J1071" s="70">
        <v>0.96139705882352899</v>
      </c>
    </row>
    <row r="1072" spans="9:10" x14ac:dyDescent="0.3">
      <c r="I1072" s="72">
        <v>535</v>
      </c>
      <c r="J1072" s="70">
        <v>0.96139705882352899</v>
      </c>
    </row>
    <row r="1073" spans="9:10" x14ac:dyDescent="0.3">
      <c r="I1073" s="72">
        <v>535.5</v>
      </c>
      <c r="J1073" s="70">
        <v>0.96139705882352899</v>
      </c>
    </row>
    <row r="1074" spans="9:10" x14ac:dyDescent="0.3">
      <c r="I1074" s="72">
        <v>536</v>
      </c>
      <c r="J1074" s="70">
        <v>0.96139705882352899</v>
      </c>
    </row>
    <row r="1075" spans="9:10" x14ac:dyDescent="0.3">
      <c r="I1075" s="72">
        <v>536.5</v>
      </c>
      <c r="J1075" s="70">
        <v>0.96139705882352899</v>
      </c>
    </row>
    <row r="1076" spans="9:10" x14ac:dyDescent="0.3">
      <c r="I1076" s="72">
        <v>537</v>
      </c>
      <c r="J1076" s="70">
        <v>0.96139705882352899</v>
      </c>
    </row>
    <row r="1077" spans="9:10" x14ac:dyDescent="0.3">
      <c r="I1077" s="72">
        <v>537.5</v>
      </c>
      <c r="J1077" s="70">
        <v>0.96139705882352899</v>
      </c>
    </row>
    <row r="1078" spans="9:10" x14ac:dyDescent="0.3">
      <c r="I1078" s="72">
        <v>538</v>
      </c>
      <c r="J1078" s="70">
        <v>0.96139705882352899</v>
      </c>
    </row>
    <row r="1079" spans="9:10" x14ac:dyDescent="0.3">
      <c r="I1079" s="72">
        <v>538.5</v>
      </c>
      <c r="J1079" s="70">
        <v>0.96139705882352899</v>
      </c>
    </row>
    <row r="1080" spans="9:10" x14ac:dyDescent="0.3">
      <c r="I1080" s="72">
        <v>539</v>
      </c>
      <c r="J1080" s="70">
        <v>0.96139705882352899</v>
      </c>
    </row>
    <row r="1081" spans="9:10" x14ac:dyDescent="0.3">
      <c r="I1081" s="72">
        <v>539.5</v>
      </c>
      <c r="J1081" s="70">
        <v>0.96139705882352899</v>
      </c>
    </row>
    <row r="1082" spans="9:10" x14ac:dyDescent="0.3">
      <c r="I1082" s="72">
        <v>540</v>
      </c>
      <c r="J1082" s="70">
        <v>0.96139705882352899</v>
      </c>
    </row>
    <row r="1083" spans="9:10" x14ac:dyDescent="0.3">
      <c r="I1083" s="72">
        <v>540.5</v>
      </c>
      <c r="J1083" s="70">
        <v>0.96139705882352899</v>
      </c>
    </row>
    <row r="1084" spans="9:10" x14ac:dyDescent="0.3">
      <c r="I1084" s="72">
        <v>541</v>
      </c>
      <c r="J1084" s="70">
        <v>0.96139705882352899</v>
      </c>
    </row>
    <row r="1085" spans="9:10" x14ac:dyDescent="0.3">
      <c r="I1085" s="72">
        <v>541.5</v>
      </c>
      <c r="J1085" s="70">
        <v>0.96139705882352899</v>
      </c>
    </row>
    <row r="1086" spans="9:10" x14ac:dyDescent="0.3">
      <c r="I1086" s="72">
        <v>542</v>
      </c>
      <c r="J1086" s="70">
        <v>0.96139705882352899</v>
      </c>
    </row>
    <row r="1087" spans="9:10" x14ac:dyDescent="0.3">
      <c r="I1087" s="72">
        <v>542.5</v>
      </c>
      <c r="J1087" s="70">
        <v>0.96139705882352899</v>
      </c>
    </row>
    <row r="1088" spans="9:10" x14ac:dyDescent="0.3">
      <c r="I1088" s="72">
        <v>543</v>
      </c>
      <c r="J1088" s="70">
        <v>0.96139705882352899</v>
      </c>
    </row>
    <row r="1089" spans="9:10" x14ac:dyDescent="0.3">
      <c r="I1089" s="72">
        <v>543.5</v>
      </c>
      <c r="J1089" s="70">
        <v>0.96139705882352899</v>
      </c>
    </row>
    <row r="1090" spans="9:10" x14ac:dyDescent="0.3">
      <c r="I1090" s="72">
        <v>544</v>
      </c>
      <c r="J1090" s="70">
        <v>0.96139705882352899</v>
      </c>
    </row>
    <row r="1091" spans="9:10" x14ac:dyDescent="0.3">
      <c r="I1091" s="72">
        <v>544.5</v>
      </c>
      <c r="J1091" s="70">
        <v>0.96139705882352899</v>
      </c>
    </row>
    <row r="1092" spans="9:10" x14ac:dyDescent="0.3">
      <c r="I1092" s="72">
        <v>545</v>
      </c>
      <c r="J1092" s="70">
        <v>0.96139705882352899</v>
      </c>
    </row>
    <row r="1093" spans="9:10" x14ac:dyDescent="0.3">
      <c r="I1093" s="72">
        <v>545.5</v>
      </c>
      <c r="J1093" s="70">
        <v>0.96139705882352899</v>
      </c>
    </row>
    <row r="1094" spans="9:10" x14ac:dyDescent="0.3">
      <c r="I1094" s="72">
        <v>546</v>
      </c>
      <c r="J1094" s="70">
        <v>0.96139705882352899</v>
      </c>
    </row>
    <row r="1095" spans="9:10" x14ac:dyDescent="0.3">
      <c r="I1095" s="72">
        <v>546.5</v>
      </c>
      <c r="J1095" s="70">
        <v>0.96139705882352899</v>
      </c>
    </row>
    <row r="1096" spans="9:10" x14ac:dyDescent="0.3">
      <c r="I1096" s="72">
        <v>547</v>
      </c>
      <c r="J1096" s="70">
        <v>0.96139705882352899</v>
      </c>
    </row>
    <row r="1097" spans="9:10" x14ac:dyDescent="0.3">
      <c r="I1097" s="72">
        <v>547.5</v>
      </c>
      <c r="J1097" s="70">
        <v>0.96139705882352899</v>
      </c>
    </row>
    <row r="1098" spans="9:10" x14ac:dyDescent="0.3">
      <c r="I1098" s="72">
        <v>548</v>
      </c>
      <c r="J1098" s="70">
        <v>0.96139705882352899</v>
      </c>
    </row>
    <row r="1099" spans="9:10" x14ac:dyDescent="0.3">
      <c r="I1099" s="72">
        <v>548.5</v>
      </c>
      <c r="J1099" s="70">
        <v>0.96139705882352899</v>
      </c>
    </row>
    <row r="1100" spans="9:10" x14ac:dyDescent="0.3">
      <c r="I1100" s="72">
        <v>549</v>
      </c>
      <c r="J1100" s="70">
        <v>0.96139705882352899</v>
      </c>
    </row>
    <row r="1101" spans="9:10" x14ac:dyDescent="0.3">
      <c r="I1101" s="72">
        <v>549.5</v>
      </c>
      <c r="J1101" s="70">
        <v>0.96139705882352899</v>
      </c>
    </row>
    <row r="1102" spans="9:10" x14ac:dyDescent="0.3">
      <c r="I1102" s="72">
        <v>550</v>
      </c>
      <c r="J1102" s="70">
        <v>0.96139705882352899</v>
      </c>
    </row>
    <row r="1103" spans="9:10" x14ac:dyDescent="0.3">
      <c r="I1103" s="72">
        <v>550.5</v>
      </c>
      <c r="J1103" s="70">
        <v>0.96139705882352899</v>
      </c>
    </row>
    <row r="1104" spans="9:10" x14ac:dyDescent="0.3">
      <c r="I1104" s="72">
        <v>551</v>
      </c>
      <c r="J1104" s="70">
        <v>0.96139705882352899</v>
      </c>
    </row>
    <row r="1105" spans="9:10" x14ac:dyDescent="0.3">
      <c r="I1105" s="72">
        <v>551.5</v>
      </c>
      <c r="J1105" s="70">
        <v>0.96139705882352899</v>
      </c>
    </row>
    <row r="1106" spans="9:10" x14ac:dyDescent="0.3">
      <c r="I1106" s="72">
        <v>552</v>
      </c>
      <c r="J1106" s="70">
        <v>0.96139705882352899</v>
      </c>
    </row>
    <row r="1107" spans="9:10" x14ac:dyDescent="0.3">
      <c r="I1107" s="72">
        <v>552.5</v>
      </c>
      <c r="J1107" s="70">
        <v>0.96139705882352899</v>
      </c>
    </row>
    <row r="1108" spans="9:10" x14ac:dyDescent="0.3">
      <c r="I1108" s="72">
        <v>553</v>
      </c>
      <c r="J1108" s="70">
        <v>0.96139705882352899</v>
      </c>
    </row>
    <row r="1109" spans="9:10" x14ac:dyDescent="0.3">
      <c r="I1109" s="72">
        <v>553.5</v>
      </c>
      <c r="J1109" s="70">
        <v>0.96139705882352899</v>
      </c>
    </row>
    <row r="1110" spans="9:10" x14ac:dyDescent="0.3">
      <c r="I1110" s="72">
        <v>554</v>
      </c>
      <c r="J1110" s="70">
        <v>0.96139705882352899</v>
      </c>
    </row>
    <row r="1111" spans="9:10" x14ac:dyDescent="0.3">
      <c r="I1111" s="72">
        <v>554.5</v>
      </c>
      <c r="J1111" s="70">
        <v>0.96139705882352899</v>
      </c>
    </row>
    <row r="1112" spans="9:10" x14ac:dyDescent="0.3">
      <c r="I1112" s="72">
        <v>555</v>
      </c>
      <c r="J1112" s="70">
        <v>0.96139705882352899</v>
      </c>
    </row>
    <row r="1113" spans="9:10" x14ac:dyDescent="0.3">
      <c r="I1113" s="72">
        <v>555.5</v>
      </c>
      <c r="J1113" s="70">
        <v>0.96139705882352899</v>
      </c>
    </row>
    <row r="1114" spans="9:10" x14ac:dyDescent="0.3">
      <c r="I1114" s="72">
        <v>556</v>
      </c>
      <c r="J1114" s="70">
        <v>0.96139705882352899</v>
      </c>
    </row>
    <row r="1115" spans="9:10" x14ac:dyDescent="0.3">
      <c r="I1115" s="72">
        <v>556.5</v>
      </c>
      <c r="J1115" s="70">
        <v>0.96139705882352899</v>
      </c>
    </row>
    <row r="1116" spans="9:10" x14ac:dyDescent="0.3">
      <c r="I1116" s="72">
        <v>557</v>
      </c>
      <c r="J1116" s="70">
        <v>0.96139705882352899</v>
      </c>
    </row>
    <row r="1117" spans="9:10" x14ac:dyDescent="0.3">
      <c r="I1117" s="72">
        <v>557.5</v>
      </c>
      <c r="J1117" s="70">
        <v>0.96139705882352899</v>
      </c>
    </row>
    <row r="1118" spans="9:10" x14ac:dyDescent="0.3">
      <c r="I1118" s="72">
        <v>558</v>
      </c>
      <c r="J1118" s="70">
        <v>0.96139705882352899</v>
      </c>
    </row>
    <row r="1119" spans="9:10" x14ac:dyDescent="0.3">
      <c r="I1119" s="72">
        <v>558.5</v>
      </c>
      <c r="J1119" s="70">
        <v>0.96323529411764663</v>
      </c>
    </row>
    <row r="1120" spans="9:10" x14ac:dyDescent="0.3">
      <c r="I1120" s="72">
        <v>559</v>
      </c>
      <c r="J1120" s="70">
        <v>0.96323529411764663</v>
      </c>
    </row>
    <row r="1121" spans="9:10" x14ac:dyDescent="0.3">
      <c r="I1121" s="72">
        <v>559.5</v>
      </c>
      <c r="J1121" s="70">
        <v>0.96323529411764663</v>
      </c>
    </row>
    <row r="1122" spans="9:10" x14ac:dyDescent="0.3">
      <c r="I1122" s="72">
        <v>560</v>
      </c>
      <c r="J1122" s="70">
        <v>0.96323529411764663</v>
      </c>
    </row>
    <row r="1123" spans="9:10" x14ac:dyDescent="0.3">
      <c r="I1123" s="72">
        <v>560.5</v>
      </c>
      <c r="J1123" s="70">
        <v>0.96323529411764663</v>
      </c>
    </row>
    <row r="1124" spans="9:10" x14ac:dyDescent="0.3">
      <c r="I1124" s="72">
        <v>561</v>
      </c>
      <c r="J1124" s="70">
        <v>0.96323529411764663</v>
      </c>
    </row>
    <row r="1125" spans="9:10" x14ac:dyDescent="0.3">
      <c r="I1125" s="72">
        <v>561.5</v>
      </c>
      <c r="J1125" s="70">
        <v>0.96323529411764663</v>
      </c>
    </row>
    <row r="1126" spans="9:10" x14ac:dyDescent="0.3">
      <c r="I1126" s="72">
        <v>562</v>
      </c>
      <c r="J1126" s="70">
        <v>0.96323529411764663</v>
      </c>
    </row>
    <row r="1127" spans="9:10" x14ac:dyDescent="0.3">
      <c r="I1127" s="72">
        <v>562.5</v>
      </c>
      <c r="J1127" s="70">
        <v>0.96323529411764663</v>
      </c>
    </row>
    <row r="1128" spans="9:10" x14ac:dyDescent="0.3">
      <c r="I1128" s="72">
        <v>563</v>
      </c>
      <c r="J1128" s="70">
        <v>0.96323529411764663</v>
      </c>
    </row>
    <row r="1129" spans="9:10" x14ac:dyDescent="0.3">
      <c r="I1129" s="72">
        <v>563.5</v>
      </c>
      <c r="J1129" s="70">
        <v>0.96323529411764663</v>
      </c>
    </row>
    <row r="1130" spans="9:10" x14ac:dyDescent="0.3">
      <c r="I1130" s="72">
        <v>564</v>
      </c>
      <c r="J1130" s="70">
        <v>0.96323529411764663</v>
      </c>
    </row>
    <row r="1131" spans="9:10" x14ac:dyDescent="0.3">
      <c r="I1131" s="72">
        <v>564.5</v>
      </c>
      <c r="J1131" s="70">
        <v>0.96323529411764663</v>
      </c>
    </row>
    <row r="1132" spans="9:10" x14ac:dyDescent="0.3">
      <c r="I1132" s="72">
        <v>565</v>
      </c>
      <c r="J1132" s="70">
        <v>0.96323529411764663</v>
      </c>
    </row>
    <row r="1133" spans="9:10" x14ac:dyDescent="0.3">
      <c r="I1133" s="72">
        <v>565.5</v>
      </c>
      <c r="J1133" s="70">
        <v>0.96323529411764663</v>
      </c>
    </row>
    <row r="1134" spans="9:10" x14ac:dyDescent="0.3">
      <c r="I1134" s="72">
        <v>566</v>
      </c>
      <c r="J1134" s="70">
        <v>0.96323529411764663</v>
      </c>
    </row>
    <row r="1135" spans="9:10" x14ac:dyDescent="0.3">
      <c r="I1135" s="72">
        <v>566.5</v>
      </c>
      <c r="J1135" s="70">
        <v>0.96323529411764663</v>
      </c>
    </row>
    <row r="1136" spans="9:10" x14ac:dyDescent="0.3">
      <c r="I1136" s="72">
        <v>567</v>
      </c>
      <c r="J1136" s="70">
        <v>0.96323529411764663</v>
      </c>
    </row>
    <row r="1137" spans="9:10" x14ac:dyDescent="0.3">
      <c r="I1137" s="72">
        <v>567.5</v>
      </c>
      <c r="J1137" s="70">
        <v>0.96323529411764663</v>
      </c>
    </row>
    <row r="1138" spans="9:10" x14ac:dyDescent="0.3">
      <c r="I1138" s="72">
        <v>568</v>
      </c>
      <c r="J1138" s="70">
        <v>0.96323529411764663</v>
      </c>
    </row>
    <row r="1139" spans="9:10" x14ac:dyDescent="0.3">
      <c r="I1139" s="72">
        <v>568.5</v>
      </c>
      <c r="J1139" s="70">
        <v>0.96323529411764663</v>
      </c>
    </row>
    <row r="1140" spans="9:10" x14ac:dyDescent="0.3">
      <c r="I1140" s="72">
        <v>569</v>
      </c>
      <c r="J1140" s="70">
        <v>0.96323529411764663</v>
      </c>
    </row>
    <row r="1141" spans="9:10" x14ac:dyDescent="0.3">
      <c r="I1141" s="72">
        <v>569.5</v>
      </c>
      <c r="J1141" s="70">
        <v>0.96323529411764663</v>
      </c>
    </row>
    <row r="1142" spans="9:10" x14ac:dyDescent="0.3">
      <c r="I1142" s="72">
        <v>570</v>
      </c>
      <c r="J1142" s="70">
        <v>0.96323529411764663</v>
      </c>
    </row>
    <row r="1143" spans="9:10" x14ac:dyDescent="0.3">
      <c r="I1143" s="72">
        <v>570.5</v>
      </c>
      <c r="J1143" s="70">
        <v>0.96323529411764663</v>
      </c>
    </row>
    <row r="1144" spans="9:10" x14ac:dyDescent="0.3">
      <c r="I1144" s="72">
        <v>571</v>
      </c>
      <c r="J1144" s="70">
        <v>0.96323529411764663</v>
      </c>
    </row>
    <row r="1145" spans="9:10" x14ac:dyDescent="0.3">
      <c r="I1145" s="72">
        <v>571.5</v>
      </c>
      <c r="J1145" s="70">
        <v>0.96323529411764663</v>
      </c>
    </row>
    <row r="1146" spans="9:10" x14ac:dyDescent="0.3">
      <c r="I1146" s="72">
        <v>572</v>
      </c>
      <c r="J1146" s="70">
        <v>0.96323529411764663</v>
      </c>
    </row>
    <row r="1147" spans="9:10" x14ac:dyDescent="0.3">
      <c r="I1147" s="72">
        <v>572.5</v>
      </c>
      <c r="J1147" s="70">
        <v>0.96323529411764663</v>
      </c>
    </row>
    <row r="1148" spans="9:10" x14ac:dyDescent="0.3">
      <c r="I1148" s="72">
        <v>573</v>
      </c>
      <c r="J1148" s="70">
        <v>0.96323529411764663</v>
      </c>
    </row>
    <row r="1149" spans="9:10" x14ac:dyDescent="0.3">
      <c r="I1149" s="72">
        <v>573.5</v>
      </c>
      <c r="J1149" s="70">
        <v>0.96323529411764663</v>
      </c>
    </row>
    <row r="1150" spans="9:10" x14ac:dyDescent="0.3">
      <c r="I1150" s="72">
        <v>574</v>
      </c>
      <c r="J1150" s="70">
        <v>0.96323529411764663</v>
      </c>
    </row>
    <row r="1151" spans="9:10" x14ac:dyDescent="0.3">
      <c r="I1151" s="72">
        <v>574.5</v>
      </c>
      <c r="J1151" s="70">
        <v>0.96323529411764663</v>
      </c>
    </row>
    <row r="1152" spans="9:10" x14ac:dyDescent="0.3">
      <c r="I1152" s="72">
        <v>575</v>
      </c>
      <c r="J1152" s="70">
        <v>0.96323529411764663</v>
      </c>
    </row>
    <row r="1153" spans="9:10" x14ac:dyDescent="0.3">
      <c r="I1153" s="72">
        <v>575.5</v>
      </c>
      <c r="J1153" s="70">
        <v>0.96323529411764663</v>
      </c>
    </row>
    <row r="1154" spans="9:10" x14ac:dyDescent="0.3">
      <c r="I1154" s="72">
        <v>576</v>
      </c>
      <c r="J1154" s="70">
        <v>0.96323529411764663</v>
      </c>
    </row>
    <row r="1155" spans="9:10" x14ac:dyDescent="0.3">
      <c r="I1155" s="72">
        <v>576.5</v>
      </c>
      <c r="J1155" s="70">
        <v>0.96323529411764663</v>
      </c>
    </row>
    <row r="1156" spans="9:10" x14ac:dyDescent="0.3">
      <c r="I1156" s="72">
        <v>577</v>
      </c>
      <c r="J1156" s="70">
        <v>0.96323529411764663</v>
      </c>
    </row>
    <row r="1157" spans="9:10" x14ac:dyDescent="0.3">
      <c r="I1157" s="72">
        <v>577.5</v>
      </c>
      <c r="J1157" s="70">
        <v>0.96323529411764663</v>
      </c>
    </row>
    <row r="1158" spans="9:10" x14ac:dyDescent="0.3">
      <c r="I1158" s="72">
        <v>578</v>
      </c>
      <c r="J1158" s="70">
        <v>0.96323529411764663</v>
      </c>
    </row>
    <row r="1159" spans="9:10" x14ac:dyDescent="0.3">
      <c r="I1159" s="72">
        <v>578.5</v>
      </c>
      <c r="J1159" s="70">
        <v>0.96323529411764663</v>
      </c>
    </row>
    <row r="1160" spans="9:10" x14ac:dyDescent="0.3">
      <c r="I1160" s="72">
        <v>579</v>
      </c>
      <c r="J1160" s="70">
        <v>0.96323529411764663</v>
      </c>
    </row>
    <row r="1161" spans="9:10" x14ac:dyDescent="0.3">
      <c r="I1161" s="72">
        <v>579.5</v>
      </c>
      <c r="J1161" s="70">
        <v>0.96323529411764663</v>
      </c>
    </row>
    <row r="1162" spans="9:10" x14ac:dyDescent="0.3">
      <c r="I1162" s="72">
        <v>580</v>
      </c>
      <c r="J1162" s="70">
        <v>0.96323529411764663</v>
      </c>
    </row>
    <row r="1163" spans="9:10" x14ac:dyDescent="0.3">
      <c r="I1163" s="72">
        <v>580.5</v>
      </c>
      <c r="J1163" s="70">
        <v>0.96323529411764663</v>
      </c>
    </row>
    <row r="1164" spans="9:10" x14ac:dyDescent="0.3">
      <c r="I1164" s="72">
        <v>581</v>
      </c>
      <c r="J1164" s="70">
        <v>0.96323529411764663</v>
      </c>
    </row>
    <row r="1165" spans="9:10" x14ac:dyDescent="0.3">
      <c r="I1165" s="72">
        <v>581.5</v>
      </c>
      <c r="J1165" s="70">
        <v>0.96323529411764663</v>
      </c>
    </row>
    <row r="1166" spans="9:10" x14ac:dyDescent="0.3">
      <c r="I1166" s="72">
        <v>582</v>
      </c>
      <c r="J1166" s="70">
        <v>0.96323529411764663</v>
      </c>
    </row>
    <row r="1167" spans="9:10" x14ac:dyDescent="0.3">
      <c r="I1167" s="72">
        <v>582.5</v>
      </c>
      <c r="J1167" s="70">
        <v>0.96323529411764663</v>
      </c>
    </row>
    <row r="1168" spans="9:10" x14ac:dyDescent="0.3">
      <c r="I1168" s="72">
        <v>583</v>
      </c>
      <c r="J1168" s="70">
        <v>0.96323529411764663</v>
      </c>
    </row>
    <row r="1169" spans="9:10" x14ac:dyDescent="0.3">
      <c r="I1169" s="72">
        <v>583.5</v>
      </c>
      <c r="J1169" s="70">
        <v>0.96323529411764663</v>
      </c>
    </row>
    <row r="1170" spans="9:10" x14ac:dyDescent="0.3">
      <c r="I1170" s="72">
        <v>584</v>
      </c>
      <c r="J1170" s="70">
        <v>0.96323529411764663</v>
      </c>
    </row>
    <row r="1171" spans="9:10" x14ac:dyDescent="0.3">
      <c r="I1171" s="72">
        <v>584.5</v>
      </c>
      <c r="J1171" s="70">
        <v>0.96323529411764663</v>
      </c>
    </row>
    <row r="1172" spans="9:10" x14ac:dyDescent="0.3">
      <c r="I1172" s="72">
        <v>585</v>
      </c>
      <c r="J1172" s="70">
        <v>0.96323529411764663</v>
      </c>
    </row>
    <row r="1173" spans="9:10" x14ac:dyDescent="0.3">
      <c r="I1173" s="72">
        <v>585.5</v>
      </c>
      <c r="J1173" s="70">
        <v>0.96323529411764663</v>
      </c>
    </row>
    <row r="1174" spans="9:10" x14ac:dyDescent="0.3">
      <c r="I1174" s="72">
        <v>586</v>
      </c>
      <c r="J1174" s="70">
        <v>0.96323529411764663</v>
      </c>
    </row>
    <row r="1175" spans="9:10" x14ac:dyDescent="0.3">
      <c r="I1175" s="72">
        <v>586.5</v>
      </c>
      <c r="J1175" s="70">
        <v>0.96323529411764663</v>
      </c>
    </row>
    <row r="1176" spans="9:10" x14ac:dyDescent="0.3">
      <c r="I1176" s="72">
        <v>587</v>
      </c>
      <c r="J1176" s="70">
        <v>0.96323529411764663</v>
      </c>
    </row>
    <row r="1177" spans="9:10" x14ac:dyDescent="0.3">
      <c r="I1177" s="72">
        <v>587.5</v>
      </c>
      <c r="J1177" s="70">
        <v>0.96323529411764663</v>
      </c>
    </row>
    <row r="1178" spans="9:10" x14ac:dyDescent="0.3">
      <c r="I1178" s="72">
        <v>588</v>
      </c>
      <c r="J1178" s="70">
        <v>0.96323529411764663</v>
      </c>
    </row>
    <row r="1179" spans="9:10" x14ac:dyDescent="0.3">
      <c r="I1179" s="72">
        <v>588.5</v>
      </c>
      <c r="J1179" s="70">
        <v>0.96323529411764663</v>
      </c>
    </row>
    <row r="1180" spans="9:10" x14ac:dyDescent="0.3">
      <c r="I1180" s="72">
        <v>589</v>
      </c>
      <c r="J1180" s="70">
        <v>0.96323529411764663</v>
      </c>
    </row>
    <row r="1181" spans="9:10" x14ac:dyDescent="0.3">
      <c r="I1181" s="72">
        <v>589.5</v>
      </c>
      <c r="J1181" s="70">
        <v>0.96323529411764663</v>
      </c>
    </row>
    <row r="1182" spans="9:10" x14ac:dyDescent="0.3">
      <c r="I1182" s="72">
        <v>590</v>
      </c>
      <c r="J1182" s="70">
        <v>0.96323529411764663</v>
      </c>
    </row>
    <row r="1183" spans="9:10" x14ac:dyDescent="0.3">
      <c r="I1183" s="72">
        <v>590.5</v>
      </c>
      <c r="J1183" s="70">
        <v>0.96323529411764663</v>
      </c>
    </row>
    <row r="1184" spans="9:10" x14ac:dyDescent="0.3">
      <c r="I1184" s="72">
        <v>591</v>
      </c>
      <c r="J1184" s="70">
        <v>0.96323529411764663</v>
      </c>
    </row>
    <row r="1185" spans="9:10" x14ac:dyDescent="0.3">
      <c r="I1185" s="72">
        <v>591.5</v>
      </c>
      <c r="J1185" s="70">
        <v>0.96323529411764663</v>
      </c>
    </row>
    <row r="1186" spans="9:10" x14ac:dyDescent="0.3">
      <c r="I1186" s="72">
        <v>592</v>
      </c>
      <c r="J1186" s="70">
        <v>0.96323529411764663</v>
      </c>
    </row>
    <row r="1187" spans="9:10" x14ac:dyDescent="0.3">
      <c r="I1187" s="72">
        <v>592.5</v>
      </c>
      <c r="J1187" s="70">
        <v>0.96323529411764663</v>
      </c>
    </row>
    <row r="1188" spans="9:10" x14ac:dyDescent="0.3">
      <c r="I1188" s="72">
        <v>593</v>
      </c>
      <c r="J1188" s="70">
        <v>0.96323529411764663</v>
      </c>
    </row>
    <row r="1189" spans="9:10" x14ac:dyDescent="0.3">
      <c r="I1189" s="72">
        <v>593.5</v>
      </c>
      <c r="J1189" s="70">
        <v>0.96507352941176439</v>
      </c>
    </row>
    <row r="1190" spans="9:10" x14ac:dyDescent="0.3">
      <c r="I1190" s="72">
        <v>594</v>
      </c>
      <c r="J1190" s="70">
        <v>0.96507352941176439</v>
      </c>
    </row>
    <row r="1191" spans="9:10" x14ac:dyDescent="0.3">
      <c r="I1191" s="72">
        <v>594.5</v>
      </c>
      <c r="J1191" s="70">
        <v>0.96507352941176439</v>
      </c>
    </row>
    <row r="1192" spans="9:10" x14ac:dyDescent="0.3">
      <c r="I1192" s="72">
        <v>595</v>
      </c>
      <c r="J1192" s="70">
        <v>0.96507352941176439</v>
      </c>
    </row>
    <row r="1193" spans="9:10" x14ac:dyDescent="0.3">
      <c r="I1193" s="72">
        <v>595.5</v>
      </c>
      <c r="J1193" s="70">
        <v>0.96507352941176439</v>
      </c>
    </row>
    <row r="1194" spans="9:10" x14ac:dyDescent="0.3">
      <c r="I1194" s="72">
        <v>596</v>
      </c>
      <c r="J1194" s="70">
        <v>0.96507352941176439</v>
      </c>
    </row>
    <row r="1195" spans="9:10" x14ac:dyDescent="0.3">
      <c r="I1195" s="72">
        <v>596.5</v>
      </c>
      <c r="J1195" s="70">
        <v>0.96507352941176439</v>
      </c>
    </row>
    <row r="1196" spans="9:10" x14ac:dyDescent="0.3">
      <c r="I1196" s="72">
        <v>597</v>
      </c>
      <c r="J1196" s="70">
        <v>0.96507352941176439</v>
      </c>
    </row>
    <row r="1197" spans="9:10" x14ac:dyDescent="0.3">
      <c r="I1197" s="72">
        <v>597.5</v>
      </c>
      <c r="J1197" s="70">
        <v>0.96507352941176439</v>
      </c>
    </row>
    <row r="1198" spans="9:10" x14ac:dyDescent="0.3">
      <c r="I1198" s="72">
        <v>598</v>
      </c>
      <c r="J1198" s="70">
        <v>0.96507352941176439</v>
      </c>
    </row>
    <row r="1199" spans="9:10" x14ac:dyDescent="0.3">
      <c r="I1199" s="72">
        <v>598.5</v>
      </c>
      <c r="J1199" s="70">
        <v>0.96507352941176439</v>
      </c>
    </row>
    <row r="1200" spans="9:10" x14ac:dyDescent="0.3">
      <c r="I1200" s="72">
        <v>599</v>
      </c>
      <c r="J1200" s="70">
        <v>0.96507352941176439</v>
      </c>
    </row>
    <row r="1201" spans="9:10" x14ac:dyDescent="0.3">
      <c r="I1201" s="72">
        <v>599.5</v>
      </c>
      <c r="J1201" s="70">
        <v>0.96507352941176439</v>
      </c>
    </row>
    <row r="1202" spans="9:10" x14ac:dyDescent="0.3">
      <c r="I1202" s="72">
        <v>600</v>
      </c>
      <c r="J1202" s="70">
        <v>0.96507352941176439</v>
      </c>
    </row>
    <row r="1203" spans="9:10" x14ac:dyDescent="0.3">
      <c r="I1203" s="72">
        <v>600.5</v>
      </c>
      <c r="J1203" s="70">
        <v>0.96507352941176439</v>
      </c>
    </row>
    <row r="1204" spans="9:10" x14ac:dyDescent="0.3">
      <c r="I1204" s="72">
        <v>601</v>
      </c>
      <c r="J1204" s="70">
        <v>0.96507352941176439</v>
      </c>
    </row>
    <row r="1205" spans="9:10" x14ac:dyDescent="0.3">
      <c r="I1205" s="72">
        <v>601.5</v>
      </c>
      <c r="J1205" s="70">
        <v>0.96507352941176439</v>
      </c>
    </row>
    <row r="1206" spans="9:10" x14ac:dyDescent="0.3">
      <c r="I1206" s="72">
        <v>602</v>
      </c>
      <c r="J1206" s="70">
        <v>0.96507352941176439</v>
      </c>
    </row>
    <row r="1207" spans="9:10" x14ac:dyDescent="0.3">
      <c r="I1207" s="72">
        <v>602.5</v>
      </c>
      <c r="J1207" s="70">
        <v>0.96507352941176439</v>
      </c>
    </row>
    <row r="1208" spans="9:10" x14ac:dyDescent="0.3">
      <c r="I1208" s="72">
        <v>603</v>
      </c>
      <c r="J1208" s="70">
        <v>0.96507352941176439</v>
      </c>
    </row>
    <row r="1209" spans="9:10" x14ac:dyDescent="0.3">
      <c r="I1209" s="72">
        <v>603.5</v>
      </c>
      <c r="J1209" s="70">
        <v>0.96507352941176439</v>
      </c>
    </row>
    <row r="1210" spans="9:10" x14ac:dyDescent="0.3">
      <c r="I1210" s="72">
        <v>604</v>
      </c>
      <c r="J1210" s="70">
        <v>0.96507352941176439</v>
      </c>
    </row>
    <row r="1211" spans="9:10" x14ac:dyDescent="0.3">
      <c r="I1211" s="72">
        <v>604.5</v>
      </c>
      <c r="J1211" s="70">
        <v>0.96507352941176439</v>
      </c>
    </row>
    <row r="1212" spans="9:10" x14ac:dyDescent="0.3">
      <c r="I1212" s="72">
        <v>605</v>
      </c>
      <c r="J1212" s="70">
        <v>0.96507352941176439</v>
      </c>
    </row>
    <row r="1213" spans="9:10" x14ac:dyDescent="0.3">
      <c r="I1213" s="72">
        <v>605.5</v>
      </c>
      <c r="J1213" s="70">
        <v>0.96507352941176439</v>
      </c>
    </row>
    <row r="1214" spans="9:10" x14ac:dyDescent="0.3">
      <c r="I1214" s="72">
        <v>606</v>
      </c>
      <c r="J1214" s="70">
        <v>0.96507352941176439</v>
      </c>
    </row>
    <row r="1215" spans="9:10" x14ac:dyDescent="0.3">
      <c r="I1215" s="72">
        <v>606.5</v>
      </c>
      <c r="J1215" s="70">
        <v>0.96507352941176439</v>
      </c>
    </row>
    <row r="1216" spans="9:10" x14ac:dyDescent="0.3">
      <c r="I1216" s="72">
        <v>607</v>
      </c>
      <c r="J1216" s="70">
        <v>0.96507352941176439</v>
      </c>
    </row>
    <row r="1217" spans="9:10" x14ac:dyDescent="0.3">
      <c r="I1217" s="72">
        <v>607.5</v>
      </c>
      <c r="J1217" s="70">
        <v>0.96507352941176439</v>
      </c>
    </row>
    <row r="1218" spans="9:10" x14ac:dyDescent="0.3">
      <c r="I1218" s="72">
        <v>608</v>
      </c>
      <c r="J1218" s="70">
        <v>0.96507352941176439</v>
      </c>
    </row>
    <row r="1219" spans="9:10" x14ac:dyDescent="0.3">
      <c r="I1219" s="72">
        <v>608.5</v>
      </c>
      <c r="J1219" s="70">
        <v>0.96507352941176439</v>
      </c>
    </row>
    <row r="1220" spans="9:10" x14ac:dyDescent="0.3">
      <c r="I1220" s="72">
        <v>609</v>
      </c>
      <c r="J1220" s="70">
        <v>0.96507352941176439</v>
      </c>
    </row>
    <row r="1221" spans="9:10" x14ac:dyDescent="0.3">
      <c r="I1221" s="72">
        <v>609.5</v>
      </c>
      <c r="J1221" s="70">
        <v>0.96507352941176439</v>
      </c>
    </row>
    <row r="1222" spans="9:10" x14ac:dyDescent="0.3">
      <c r="I1222" s="72">
        <v>610</v>
      </c>
      <c r="J1222" s="70">
        <v>0.96507352941176439</v>
      </c>
    </row>
    <row r="1223" spans="9:10" x14ac:dyDescent="0.3">
      <c r="I1223" s="72">
        <v>610.5</v>
      </c>
      <c r="J1223" s="70">
        <v>0.96507352941176439</v>
      </c>
    </row>
    <row r="1224" spans="9:10" x14ac:dyDescent="0.3">
      <c r="I1224" s="72">
        <v>611</v>
      </c>
      <c r="J1224" s="70">
        <v>0.96507352941176439</v>
      </c>
    </row>
    <row r="1225" spans="9:10" x14ac:dyDescent="0.3">
      <c r="I1225" s="72">
        <v>611.5</v>
      </c>
      <c r="J1225" s="70">
        <v>0.96507352941176439</v>
      </c>
    </row>
    <row r="1226" spans="9:10" x14ac:dyDescent="0.3">
      <c r="I1226" s="72">
        <v>612</v>
      </c>
      <c r="J1226" s="70">
        <v>0.96507352941176439</v>
      </c>
    </row>
    <row r="1227" spans="9:10" x14ac:dyDescent="0.3">
      <c r="I1227" s="72">
        <v>612.5</v>
      </c>
      <c r="J1227" s="70">
        <v>0.96507352941176439</v>
      </c>
    </row>
    <row r="1228" spans="9:10" x14ac:dyDescent="0.3">
      <c r="I1228" s="72">
        <v>613</v>
      </c>
      <c r="J1228" s="70">
        <v>0.96507352941176439</v>
      </c>
    </row>
    <row r="1229" spans="9:10" x14ac:dyDescent="0.3">
      <c r="I1229" s="72">
        <v>613.5</v>
      </c>
      <c r="J1229" s="70">
        <v>0.96507352941176439</v>
      </c>
    </row>
    <row r="1230" spans="9:10" x14ac:dyDescent="0.3">
      <c r="I1230" s="72">
        <v>614</v>
      </c>
      <c r="J1230" s="70">
        <v>0.96507352941176439</v>
      </c>
    </row>
    <row r="1231" spans="9:10" x14ac:dyDescent="0.3">
      <c r="I1231" s="72">
        <v>614.5</v>
      </c>
      <c r="J1231" s="70">
        <v>0.96507352941176439</v>
      </c>
    </row>
    <row r="1232" spans="9:10" x14ac:dyDescent="0.3">
      <c r="I1232" s="72">
        <v>615</v>
      </c>
      <c r="J1232" s="70">
        <v>0.96507352941176439</v>
      </c>
    </row>
    <row r="1233" spans="9:10" x14ac:dyDescent="0.3">
      <c r="I1233" s="72">
        <v>615.5</v>
      </c>
      <c r="J1233" s="70">
        <v>0.96507352941176439</v>
      </c>
    </row>
    <row r="1234" spans="9:10" x14ac:dyDescent="0.3">
      <c r="I1234" s="72">
        <v>616</v>
      </c>
      <c r="J1234" s="70">
        <v>0.96507352941176439</v>
      </c>
    </row>
    <row r="1235" spans="9:10" x14ac:dyDescent="0.3">
      <c r="I1235" s="72">
        <v>616.5</v>
      </c>
      <c r="J1235" s="70">
        <v>0.96507352941176439</v>
      </c>
    </row>
    <row r="1236" spans="9:10" x14ac:dyDescent="0.3">
      <c r="I1236" s="72">
        <v>617</v>
      </c>
      <c r="J1236" s="70">
        <v>0.96507352941176439</v>
      </c>
    </row>
    <row r="1237" spans="9:10" x14ac:dyDescent="0.3">
      <c r="I1237" s="72">
        <v>617.5</v>
      </c>
      <c r="J1237" s="70">
        <v>0.96507352941176439</v>
      </c>
    </row>
    <row r="1238" spans="9:10" x14ac:dyDescent="0.3">
      <c r="I1238" s="72">
        <v>618</v>
      </c>
      <c r="J1238" s="70">
        <v>0.96507352941176439</v>
      </c>
    </row>
    <row r="1239" spans="9:10" x14ac:dyDescent="0.3">
      <c r="I1239" s="72">
        <v>618.5</v>
      </c>
      <c r="J1239" s="70">
        <v>0.96507352941176439</v>
      </c>
    </row>
    <row r="1240" spans="9:10" x14ac:dyDescent="0.3">
      <c r="I1240" s="72">
        <v>619</v>
      </c>
      <c r="J1240" s="70">
        <v>0.96507352941176439</v>
      </c>
    </row>
    <row r="1241" spans="9:10" x14ac:dyDescent="0.3">
      <c r="I1241" s="72">
        <v>619.5</v>
      </c>
      <c r="J1241" s="70">
        <v>0.96507352941176439</v>
      </c>
    </row>
    <row r="1242" spans="9:10" x14ac:dyDescent="0.3">
      <c r="I1242" s="72">
        <v>620</v>
      </c>
      <c r="J1242" s="70">
        <v>0.96507352941176439</v>
      </c>
    </row>
    <row r="1243" spans="9:10" x14ac:dyDescent="0.3">
      <c r="I1243" s="72">
        <v>620.5</v>
      </c>
      <c r="J1243" s="70">
        <v>0.96507352941176439</v>
      </c>
    </row>
    <row r="1244" spans="9:10" x14ac:dyDescent="0.3">
      <c r="I1244" s="72">
        <v>621</v>
      </c>
      <c r="J1244" s="70">
        <v>0.96507352941176439</v>
      </c>
    </row>
    <row r="1245" spans="9:10" x14ac:dyDescent="0.3">
      <c r="I1245" s="72">
        <v>621.5</v>
      </c>
      <c r="J1245" s="70">
        <v>0.96507352941176439</v>
      </c>
    </row>
    <row r="1246" spans="9:10" x14ac:dyDescent="0.3">
      <c r="I1246" s="72">
        <v>622</v>
      </c>
      <c r="J1246" s="70">
        <v>0.96507352941176439</v>
      </c>
    </row>
    <row r="1247" spans="9:10" x14ac:dyDescent="0.3">
      <c r="I1247" s="72">
        <v>622.5</v>
      </c>
      <c r="J1247" s="70">
        <v>0.96507352941176439</v>
      </c>
    </row>
    <row r="1248" spans="9:10" x14ac:dyDescent="0.3">
      <c r="I1248" s="72">
        <v>623</v>
      </c>
      <c r="J1248" s="70">
        <v>0.96507352941176439</v>
      </c>
    </row>
    <row r="1249" spans="9:10" x14ac:dyDescent="0.3">
      <c r="I1249" s="72">
        <v>623.5</v>
      </c>
      <c r="J1249" s="70">
        <v>0.96507352941176439</v>
      </c>
    </row>
    <row r="1250" spans="9:10" x14ac:dyDescent="0.3">
      <c r="I1250" s="72">
        <v>624</v>
      </c>
      <c r="J1250" s="70">
        <v>0.96507352941176439</v>
      </c>
    </row>
    <row r="1251" spans="9:10" x14ac:dyDescent="0.3">
      <c r="I1251" s="72">
        <v>624.5</v>
      </c>
      <c r="J1251" s="70">
        <v>0.96507352941176439</v>
      </c>
    </row>
    <row r="1252" spans="9:10" x14ac:dyDescent="0.3">
      <c r="I1252" s="72">
        <v>625</v>
      </c>
      <c r="J1252" s="70">
        <v>0.96507352941176439</v>
      </c>
    </row>
    <row r="1253" spans="9:10" x14ac:dyDescent="0.3">
      <c r="I1253" s="72">
        <v>625.5</v>
      </c>
      <c r="J1253" s="70">
        <v>0.96507352941176439</v>
      </c>
    </row>
    <row r="1254" spans="9:10" x14ac:dyDescent="0.3">
      <c r="I1254" s="72">
        <v>626</v>
      </c>
      <c r="J1254" s="70">
        <v>0.96507352941176439</v>
      </c>
    </row>
    <row r="1255" spans="9:10" x14ac:dyDescent="0.3">
      <c r="I1255" s="72">
        <v>626.5</v>
      </c>
      <c r="J1255" s="70">
        <v>0.96507352941176439</v>
      </c>
    </row>
    <row r="1256" spans="9:10" x14ac:dyDescent="0.3">
      <c r="I1256" s="72">
        <v>627</v>
      </c>
      <c r="J1256" s="70">
        <v>0.96507352941176439</v>
      </c>
    </row>
    <row r="1257" spans="9:10" x14ac:dyDescent="0.3">
      <c r="I1257" s="72">
        <v>627.5</v>
      </c>
      <c r="J1257" s="70">
        <v>0.96507352941176439</v>
      </c>
    </row>
    <row r="1258" spans="9:10" x14ac:dyDescent="0.3">
      <c r="I1258" s="72">
        <v>628</v>
      </c>
      <c r="J1258" s="70">
        <v>0.96507352941176439</v>
      </c>
    </row>
    <row r="1259" spans="9:10" x14ac:dyDescent="0.3">
      <c r="I1259" s="72">
        <v>628.5</v>
      </c>
      <c r="J1259" s="70">
        <v>0.96507352941176439</v>
      </c>
    </row>
    <row r="1260" spans="9:10" x14ac:dyDescent="0.3">
      <c r="I1260" s="72">
        <v>629</v>
      </c>
      <c r="J1260" s="70">
        <v>0.96507352941176439</v>
      </c>
    </row>
    <row r="1261" spans="9:10" x14ac:dyDescent="0.3">
      <c r="I1261" s="72">
        <v>629.5</v>
      </c>
      <c r="J1261" s="70">
        <v>0.96507352941176439</v>
      </c>
    </row>
    <row r="1262" spans="9:10" x14ac:dyDescent="0.3">
      <c r="I1262" s="72">
        <v>630</v>
      </c>
      <c r="J1262" s="70">
        <v>0.96507352941176439</v>
      </c>
    </row>
    <row r="1263" spans="9:10" x14ac:dyDescent="0.3">
      <c r="I1263" s="72">
        <v>630.5</v>
      </c>
      <c r="J1263" s="70">
        <v>0.96507352941176439</v>
      </c>
    </row>
    <row r="1264" spans="9:10" x14ac:dyDescent="0.3">
      <c r="I1264" s="72">
        <v>631</v>
      </c>
      <c r="J1264" s="70">
        <v>0.96691176470588203</v>
      </c>
    </row>
    <row r="1265" spans="9:10" x14ac:dyDescent="0.3">
      <c r="I1265" s="72">
        <v>631.5</v>
      </c>
      <c r="J1265" s="70">
        <v>0.96691176470588203</v>
      </c>
    </row>
    <row r="1266" spans="9:10" x14ac:dyDescent="0.3">
      <c r="I1266" s="72">
        <v>632</v>
      </c>
      <c r="J1266" s="70">
        <v>0.96691176470588203</v>
      </c>
    </row>
    <row r="1267" spans="9:10" x14ac:dyDescent="0.3">
      <c r="I1267" s="72">
        <v>632.5</v>
      </c>
      <c r="J1267" s="70">
        <v>0.96691176470588203</v>
      </c>
    </row>
    <row r="1268" spans="9:10" x14ac:dyDescent="0.3">
      <c r="I1268" s="72">
        <v>633</v>
      </c>
      <c r="J1268" s="70">
        <v>0.96691176470588203</v>
      </c>
    </row>
    <row r="1269" spans="9:10" x14ac:dyDescent="0.3">
      <c r="I1269" s="72">
        <v>633.5</v>
      </c>
      <c r="J1269" s="70">
        <v>0.96691176470588203</v>
      </c>
    </row>
    <row r="1270" spans="9:10" x14ac:dyDescent="0.3">
      <c r="I1270" s="72">
        <v>634</v>
      </c>
      <c r="J1270" s="70">
        <v>0.96691176470588203</v>
      </c>
    </row>
    <row r="1271" spans="9:10" x14ac:dyDescent="0.3">
      <c r="I1271" s="72">
        <v>634.5</v>
      </c>
      <c r="J1271" s="70">
        <v>0.96691176470588203</v>
      </c>
    </row>
    <row r="1272" spans="9:10" x14ac:dyDescent="0.3">
      <c r="I1272" s="72">
        <v>635</v>
      </c>
      <c r="J1272" s="70">
        <v>0.96691176470588203</v>
      </c>
    </row>
    <row r="1273" spans="9:10" x14ac:dyDescent="0.3">
      <c r="I1273" s="72">
        <v>635.5</v>
      </c>
      <c r="J1273" s="70">
        <v>0.96691176470588203</v>
      </c>
    </row>
    <row r="1274" spans="9:10" x14ac:dyDescent="0.3">
      <c r="I1274" s="72">
        <v>636</v>
      </c>
      <c r="J1274" s="70">
        <v>0.96691176470588203</v>
      </c>
    </row>
    <row r="1275" spans="9:10" x14ac:dyDescent="0.3">
      <c r="I1275" s="72">
        <v>636.5</v>
      </c>
      <c r="J1275" s="70">
        <v>0.96691176470588203</v>
      </c>
    </row>
    <row r="1276" spans="9:10" x14ac:dyDescent="0.3">
      <c r="I1276" s="72">
        <v>637</v>
      </c>
      <c r="J1276" s="70">
        <v>0.96691176470588203</v>
      </c>
    </row>
    <row r="1277" spans="9:10" x14ac:dyDescent="0.3">
      <c r="I1277" s="72">
        <v>637.5</v>
      </c>
      <c r="J1277" s="70">
        <v>0.96691176470588203</v>
      </c>
    </row>
    <row r="1278" spans="9:10" x14ac:dyDescent="0.3">
      <c r="I1278" s="72">
        <v>638</v>
      </c>
      <c r="J1278" s="70">
        <v>0.96691176470588203</v>
      </c>
    </row>
    <row r="1279" spans="9:10" x14ac:dyDescent="0.3">
      <c r="I1279" s="72">
        <v>638.5</v>
      </c>
      <c r="J1279" s="70">
        <v>0.96691176470588203</v>
      </c>
    </row>
    <row r="1280" spans="9:10" x14ac:dyDescent="0.3">
      <c r="I1280" s="72">
        <v>639</v>
      </c>
      <c r="J1280" s="70">
        <v>0.96691176470588203</v>
      </c>
    </row>
    <row r="1281" spans="9:10" x14ac:dyDescent="0.3">
      <c r="I1281" s="72">
        <v>639.5</v>
      </c>
      <c r="J1281" s="70">
        <v>0.96691176470588203</v>
      </c>
    </row>
    <row r="1282" spans="9:10" x14ac:dyDescent="0.3">
      <c r="I1282" s="72">
        <v>640</v>
      </c>
      <c r="J1282" s="70">
        <v>0.96691176470588203</v>
      </c>
    </row>
    <row r="1283" spans="9:10" x14ac:dyDescent="0.3">
      <c r="I1283" s="72">
        <v>640.5</v>
      </c>
      <c r="J1283" s="70">
        <v>0.96691176470588203</v>
      </c>
    </row>
    <row r="1284" spans="9:10" x14ac:dyDescent="0.3">
      <c r="I1284" s="72">
        <v>641</v>
      </c>
      <c r="J1284" s="70">
        <v>0.96691176470588203</v>
      </c>
    </row>
    <row r="1285" spans="9:10" x14ac:dyDescent="0.3">
      <c r="I1285" s="72">
        <v>641.5</v>
      </c>
      <c r="J1285" s="70">
        <v>0.96691176470588203</v>
      </c>
    </row>
    <row r="1286" spans="9:10" x14ac:dyDescent="0.3">
      <c r="I1286" s="72">
        <v>642</v>
      </c>
      <c r="J1286" s="70">
        <v>0.96691176470588203</v>
      </c>
    </row>
    <row r="1287" spans="9:10" x14ac:dyDescent="0.3">
      <c r="I1287" s="72">
        <v>642.5</v>
      </c>
      <c r="J1287" s="70">
        <v>0.96691176470588203</v>
      </c>
    </row>
    <row r="1288" spans="9:10" x14ac:dyDescent="0.3">
      <c r="I1288" s="72">
        <v>643</v>
      </c>
      <c r="J1288" s="70">
        <v>0.96691176470588203</v>
      </c>
    </row>
    <row r="1289" spans="9:10" x14ac:dyDescent="0.3">
      <c r="I1289" s="72">
        <v>643.5</v>
      </c>
      <c r="J1289" s="70">
        <v>0.96691176470588203</v>
      </c>
    </row>
    <row r="1290" spans="9:10" x14ac:dyDescent="0.3">
      <c r="I1290" s="72">
        <v>644</v>
      </c>
      <c r="J1290" s="70">
        <v>0.96691176470588203</v>
      </c>
    </row>
    <row r="1291" spans="9:10" x14ac:dyDescent="0.3">
      <c r="I1291" s="72">
        <v>644.5</v>
      </c>
      <c r="J1291" s="70">
        <v>0.96691176470588203</v>
      </c>
    </row>
    <row r="1292" spans="9:10" x14ac:dyDescent="0.3">
      <c r="I1292" s="72">
        <v>645</v>
      </c>
      <c r="J1292" s="70">
        <v>0.96691176470588203</v>
      </c>
    </row>
    <row r="1293" spans="9:10" x14ac:dyDescent="0.3">
      <c r="I1293" s="72">
        <v>645.5</v>
      </c>
      <c r="J1293" s="70">
        <v>0.96691176470588203</v>
      </c>
    </row>
    <row r="1294" spans="9:10" x14ac:dyDescent="0.3">
      <c r="I1294" s="72">
        <v>646</v>
      </c>
      <c r="J1294" s="70">
        <v>0.96691176470588203</v>
      </c>
    </row>
    <row r="1295" spans="9:10" x14ac:dyDescent="0.3">
      <c r="I1295" s="72">
        <v>646.5</v>
      </c>
      <c r="J1295" s="70">
        <v>0.96691176470588203</v>
      </c>
    </row>
    <row r="1296" spans="9:10" x14ac:dyDescent="0.3">
      <c r="I1296" s="72">
        <v>647</v>
      </c>
      <c r="J1296" s="70">
        <v>0.96691176470588203</v>
      </c>
    </row>
    <row r="1297" spans="9:10" x14ac:dyDescent="0.3">
      <c r="I1297" s="72">
        <v>647.5</v>
      </c>
      <c r="J1297" s="70">
        <v>0.96691176470588203</v>
      </c>
    </row>
    <row r="1298" spans="9:10" x14ac:dyDescent="0.3">
      <c r="I1298" s="72">
        <v>648</v>
      </c>
      <c r="J1298" s="70">
        <v>0.96691176470588203</v>
      </c>
    </row>
    <row r="1299" spans="9:10" x14ac:dyDescent="0.3">
      <c r="I1299" s="72">
        <v>648.5</v>
      </c>
      <c r="J1299" s="70">
        <v>0.96691176470588203</v>
      </c>
    </row>
    <row r="1300" spans="9:10" x14ac:dyDescent="0.3">
      <c r="I1300" s="72">
        <v>649</v>
      </c>
      <c r="J1300" s="70">
        <v>0.96691176470588203</v>
      </c>
    </row>
    <row r="1301" spans="9:10" x14ac:dyDescent="0.3">
      <c r="I1301" s="72">
        <v>649.5</v>
      </c>
      <c r="J1301" s="70">
        <v>0.96691176470588203</v>
      </c>
    </row>
    <row r="1302" spans="9:10" x14ac:dyDescent="0.3">
      <c r="I1302" s="72">
        <v>650</v>
      </c>
      <c r="J1302" s="70">
        <v>0.96691176470588203</v>
      </c>
    </row>
    <row r="1303" spans="9:10" x14ac:dyDescent="0.3">
      <c r="I1303" s="72">
        <v>650.5</v>
      </c>
      <c r="J1303" s="70">
        <v>0.96691176470588203</v>
      </c>
    </row>
    <row r="1304" spans="9:10" x14ac:dyDescent="0.3">
      <c r="I1304" s="72">
        <v>651</v>
      </c>
      <c r="J1304" s="70">
        <v>0.96691176470588203</v>
      </c>
    </row>
    <row r="1305" spans="9:10" x14ac:dyDescent="0.3">
      <c r="I1305" s="72">
        <v>651.5</v>
      </c>
      <c r="J1305" s="70">
        <v>0.96691176470588203</v>
      </c>
    </row>
    <row r="1306" spans="9:10" x14ac:dyDescent="0.3">
      <c r="I1306" s="72">
        <v>652</v>
      </c>
      <c r="J1306" s="70">
        <v>0.96691176470588203</v>
      </c>
    </row>
    <row r="1307" spans="9:10" x14ac:dyDescent="0.3">
      <c r="I1307" s="72">
        <v>652.5</v>
      </c>
      <c r="J1307" s="70">
        <v>0.96691176470588203</v>
      </c>
    </row>
    <row r="1308" spans="9:10" x14ac:dyDescent="0.3">
      <c r="I1308" s="72">
        <v>653</v>
      </c>
      <c r="J1308" s="70">
        <v>0.96691176470588203</v>
      </c>
    </row>
    <row r="1309" spans="9:10" x14ac:dyDescent="0.3">
      <c r="I1309" s="72">
        <v>653.5</v>
      </c>
      <c r="J1309" s="70">
        <v>0.96691176470588203</v>
      </c>
    </row>
    <row r="1310" spans="9:10" x14ac:dyDescent="0.3">
      <c r="I1310" s="72">
        <v>654</v>
      </c>
      <c r="J1310" s="70">
        <v>0.96691176470588203</v>
      </c>
    </row>
    <row r="1311" spans="9:10" x14ac:dyDescent="0.3">
      <c r="I1311" s="72">
        <v>654.5</v>
      </c>
      <c r="J1311" s="70">
        <v>0.96691176470588203</v>
      </c>
    </row>
    <row r="1312" spans="9:10" x14ac:dyDescent="0.3">
      <c r="I1312" s="72">
        <v>655</v>
      </c>
      <c r="J1312" s="70">
        <v>0.96691176470588203</v>
      </c>
    </row>
    <row r="1313" spans="9:10" x14ac:dyDescent="0.3">
      <c r="I1313" s="72">
        <v>655.5</v>
      </c>
      <c r="J1313" s="70">
        <v>0.96691176470588203</v>
      </c>
    </row>
    <row r="1314" spans="9:10" x14ac:dyDescent="0.3">
      <c r="I1314" s="72">
        <v>656</v>
      </c>
      <c r="J1314" s="70">
        <v>0.96691176470588203</v>
      </c>
    </row>
    <row r="1315" spans="9:10" x14ac:dyDescent="0.3">
      <c r="I1315" s="72">
        <v>656.5</v>
      </c>
      <c r="J1315" s="70">
        <v>0.96691176470588203</v>
      </c>
    </row>
    <row r="1316" spans="9:10" x14ac:dyDescent="0.3">
      <c r="I1316" s="72">
        <v>657</v>
      </c>
      <c r="J1316" s="70">
        <v>0.96691176470588203</v>
      </c>
    </row>
    <row r="1317" spans="9:10" x14ac:dyDescent="0.3">
      <c r="I1317" s="72">
        <v>657.5</v>
      </c>
      <c r="J1317" s="70">
        <v>0.96691176470588203</v>
      </c>
    </row>
    <row r="1318" spans="9:10" x14ac:dyDescent="0.3">
      <c r="I1318" s="72">
        <v>658</v>
      </c>
      <c r="J1318" s="70">
        <v>0.96691176470588203</v>
      </c>
    </row>
    <row r="1319" spans="9:10" x14ac:dyDescent="0.3">
      <c r="I1319" s="72">
        <v>658.5</v>
      </c>
      <c r="J1319" s="70">
        <v>0.96691176470588203</v>
      </c>
    </row>
    <row r="1320" spans="9:10" x14ac:dyDescent="0.3">
      <c r="I1320" s="72">
        <v>659</v>
      </c>
      <c r="J1320" s="70">
        <v>0.96691176470588203</v>
      </c>
    </row>
    <row r="1321" spans="9:10" x14ac:dyDescent="0.3">
      <c r="I1321" s="72">
        <v>659.5</v>
      </c>
      <c r="J1321" s="70">
        <v>0.96691176470588203</v>
      </c>
    </row>
    <row r="1322" spans="9:10" x14ac:dyDescent="0.3">
      <c r="I1322" s="72">
        <v>660</v>
      </c>
      <c r="J1322" s="70">
        <v>0.96691176470588203</v>
      </c>
    </row>
    <row r="1323" spans="9:10" x14ac:dyDescent="0.3">
      <c r="I1323" s="72">
        <v>660.5</v>
      </c>
      <c r="J1323" s="70">
        <v>0.96691176470588203</v>
      </c>
    </row>
    <row r="1324" spans="9:10" x14ac:dyDescent="0.3">
      <c r="I1324" s="72">
        <v>661</v>
      </c>
      <c r="J1324" s="70">
        <v>0.96691176470588203</v>
      </c>
    </row>
    <row r="1325" spans="9:10" x14ac:dyDescent="0.3">
      <c r="I1325" s="72">
        <v>661.5</v>
      </c>
      <c r="J1325" s="70">
        <v>0.96691176470588203</v>
      </c>
    </row>
    <row r="1326" spans="9:10" x14ac:dyDescent="0.3">
      <c r="I1326" s="72">
        <v>662</v>
      </c>
      <c r="J1326" s="70">
        <v>0.96691176470588203</v>
      </c>
    </row>
    <row r="1327" spans="9:10" x14ac:dyDescent="0.3">
      <c r="I1327" s="72">
        <v>662.5</v>
      </c>
      <c r="J1327" s="70">
        <v>0.96691176470588203</v>
      </c>
    </row>
    <row r="1328" spans="9:10" x14ac:dyDescent="0.3">
      <c r="I1328" s="72">
        <v>663</v>
      </c>
      <c r="J1328" s="70">
        <v>0.96691176470588203</v>
      </c>
    </row>
    <row r="1329" spans="9:10" x14ac:dyDescent="0.3">
      <c r="I1329" s="72">
        <v>663.5</v>
      </c>
      <c r="J1329" s="70">
        <v>0.96691176470588203</v>
      </c>
    </row>
    <row r="1330" spans="9:10" x14ac:dyDescent="0.3">
      <c r="I1330" s="72">
        <v>664</v>
      </c>
      <c r="J1330" s="70">
        <v>0.96691176470588203</v>
      </c>
    </row>
    <row r="1331" spans="9:10" x14ac:dyDescent="0.3">
      <c r="I1331" s="72">
        <v>664.5</v>
      </c>
      <c r="J1331" s="70">
        <v>0.96691176470588203</v>
      </c>
    </row>
    <row r="1332" spans="9:10" x14ac:dyDescent="0.3">
      <c r="I1332" s="72">
        <v>665</v>
      </c>
      <c r="J1332" s="70">
        <v>0.96691176470588203</v>
      </c>
    </row>
    <row r="1333" spans="9:10" x14ac:dyDescent="0.3">
      <c r="I1333" s="72">
        <v>665.5</v>
      </c>
      <c r="J1333" s="70">
        <v>0.96691176470588203</v>
      </c>
    </row>
    <row r="1334" spans="9:10" x14ac:dyDescent="0.3">
      <c r="I1334" s="72">
        <v>666</v>
      </c>
      <c r="J1334" s="70">
        <v>0.96691176470588203</v>
      </c>
    </row>
    <row r="1335" spans="9:10" x14ac:dyDescent="0.3">
      <c r="I1335" s="72">
        <v>666.5</v>
      </c>
      <c r="J1335" s="70">
        <v>0.96691176470588203</v>
      </c>
    </row>
    <row r="1336" spans="9:10" x14ac:dyDescent="0.3">
      <c r="I1336" s="72">
        <v>667</v>
      </c>
      <c r="J1336" s="70">
        <v>0.96691176470588203</v>
      </c>
    </row>
    <row r="1337" spans="9:10" x14ac:dyDescent="0.3">
      <c r="I1337" s="72">
        <v>667.5</v>
      </c>
      <c r="J1337" s="70">
        <v>0.96691176470588203</v>
      </c>
    </row>
    <row r="1338" spans="9:10" x14ac:dyDescent="0.3">
      <c r="I1338" s="72">
        <v>668</v>
      </c>
      <c r="J1338" s="70">
        <v>0.96691176470588203</v>
      </c>
    </row>
    <row r="1339" spans="9:10" x14ac:dyDescent="0.3">
      <c r="I1339" s="72">
        <v>668.5</v>
      </c>
      <c r="J1339" s="70">
        <v>0.96691176470588203</v>
      </c>
    </row>
    <row r="1340" spans="9:10" x14ac:dyDescent="0.3">
      <c r="I1340" s="72">
        <v>669</v>
      </c>
      <c r="J1340" s="70">
        <v>0.96691176470588203</v>
      </c>
    </row>
    <row r="1341" spans="9:10" x14ac:dyDescent="0.3">
      <c r="I1341" s="72">
        <v>669.5</v>
      </c>
      <c r="J1341" s="70">
        <v>0.96691176470588203</v>
      </c>
    </row>
    <row r="1342" spans="9:10" x14ac:dyDescent="0.3">
      <c r="I1342" s="72">
        <v>670</v>
      </c>
      <c r="J1342" s="70">
        <v>0.96874999999999967</v>
      </c>
    </row>
    <row r="1343" spans="9:10" x14ac:dyDescent="0.3">
      <c r="I1343" s="72">
        <v>670.5</v>
      </c>
      <c r="J1343" s="70">
        <v>0.96874999999999967</v>
      </c>
    </row>
    <row r="1344" spans="9:10" x14ac:dyDescent="0.3">
      <c r="I1344" s="72">
        <v>671</v>
      </c>
      <c r="J1344" s="70">
        <v>0.96874999999999967</v>
      </c>
    </row>
    <row r="1345" spans="9:10" x14ac:dyDescent="0.3">
      <c r="I1345" s="72">
        <v>671.5</v>
      </c>
      <c r="J1345" s="70">
        <v>0.96874999999999967</v>
      </c>
    </row>
    <row r="1346" spans="9:10" x14ac:dyDescent="0.3">
      <c r="I1346" s="72">
        <v>672</v>
      </c>
      <c r="J1346" s="70">
        <v>0.96874999999999967</v>
      </c>
    </row>
    <row r="1347" spans="9:10" x14ac:dyDescent="0.3">
      <c r="I1347" s="72">
        <v>672.5</v>
      </c>
      <c r="J1347" s="70">
        <v>0.96874999999999967</v>
      </c>
    </row>
    <row r="1348" spans="9:10" x14ac:dyDescent="0.3">
      <c r="I1348" s="72">
        <v>673</v>
      </c>
      <c r="J1348" s="70">
        <v>0.96874999999999967</v>
      </c>
    </row>
    <row r="1349" spans="9:10" x14ac:dyDescent="0.3">
      <c r="I1349" s="72">
        <v>673.5</v>
      </c>
      <c r="J1349" s="70">
        <v>0.96874999999999967</v>
      </c>
    </row>
    <row r="1350" spans="9:10" x14ac:dyDescent="0.3">
      <c r="I1350" s="72">
        <v>674</v>
      </c>
      <c r="J1350" s="70">
        <v>0.96874999999999967</v>
      </c>
    </row>
    <row r="1351" spans="9:10" x14ac:dyDescent="0.3">
      <c r="I1351" s="72">
        <v>674.5</v>
      </c>
      <c r="J1351" s="70">
        <v>0.96874999999999967</v>
      </c>
    </row>
    <row r="1352" spans="9:10" x14ac:dyDescent="0.3">
      <c r="I1352" s="72">
        <v>675</v>
      </c>
      <c r="J1352" s="70">
        <v>0.96874999999999967</v>
      </c>
    </row>
    <row r="1353" spans="9:10" x14ac:dyDescent="0.3">
      <c r="I1353" s="72">
        <v>675.5</v>
      </c>
      <c r="J1353" s="70">
        <v>0.96874999999999967</v>
      </c>
    </row>
    <row r="1354" spans="9:10" x14ac:dyDescent="0.3">
      <c r="I1354" s="72">
        <v>676</v>
      </c>
      <c r="J1354" s="70">
        <v>0.96874999999999967</v>
      </c>
    </row>
    <row r="1355" spans="9:10" x14ac:dyDescent="0.3">
      <c r="I1355" s="72">
        <v>676.5</v>
      </c>
      <c r="J1355" s="70">
        <v>0.96874999999999967</v>
      </c>
    </row>
    <row r="1356" spans="9:10" x14ac:dyDescent="0.3">
      <c r="I1356" s="72">
        <v>677</v>
      </c>
      <c r="J1356" s="70">
        <v>0.96874999999999967</v>
      </c>
    </row>
    <row r="1357" spans="9:10" x14ac:dyDescent="0.3">
      <c r="I1357" s="72">
        <v>677.5</v>
      </c>
      <c r="J1357" s="70">
        <v>0.96874999999999967</v>
      </c>
    </row>
    <row r="1358" spans="9:10" x14ac:dyDescent="0.3">
      <c r="I1358" s="72">
        <v>678</v>
      </c>
      <c r="J1358" s="70">
        <v>0.96874999999999967</v>
      </c>
    </row>
    <row r="1359" spans="9:10" x14ac:dyDescent="0.3">
      <c r="I1359" s="72">
        <v>678.5</v>
      </c>
      <c r="J1359" s="70">
        <v>0.96874999999999967</v>
      </c>
    </row>
    <row r="1360" spans="9:10" x14ac:dyDescent="0.3">
      <c r="I1360" s="72">
        <v>679</v>
      </c>
      <c r="J1360" s="70">
        <v>0.96874999999999967</v>
      </c>
    </row>
    <row r="1361" spans="9:10" x14ac:dyDescent="0.3">
      <c r="I1361" s="72">
        <v>679.5</v>
      </c>
      <c r="J1361" s="70">
        <v>0.96874999999999967</v>
      </c>
    </row>
    <row r="1362" spans="9:10" x14ac:dyDescent="0.3">
      <c r="I1362" s="72">
        <v>680</v>
      </c>
      <c r="J1362" s="70">
        <v>0.96874999999999967</v>
      </c>
    </row>
    <row r="1363" spans="9:10" x14ac:dyDescent="0.3">
      <c r="I1363" s="72">
        <v>680.5</v>
      </c>
      <c r="J1363" s="70">
        <v>0.96874999999999967</v>
      </c>
    </row>
    <row r="1364" spans="9:10" x14ac:dyDescent="0.3">
      <c r="I1364" s="72">
        <v>681</v>
      </c>
      <c r="J1364" s="70">
        <v>0.96874999999999967</v>
      </c>
    </row>
    <row r="1365" spans="9:10" x14ac:dyDescent="0.3">
      <c r="I1365" s="72">
        <v>681.5</v>
      </c>
      <c r="J1365" s="70">
        <v>0.96874999999999967</v>
      </c>
    </row>
    <row r="1366" spans="9:10" x14ac:dyDescent="0.3">
      <c r="I1366" s="72">
        <v>682</v>
      </c>
      <c r="J1366" s="70">
        <v>0.96874999999999967</v>
      </c>
    </row>
    <row r="1367" spans="9:10" x14ac:dyDescent="0.3">
      <c r="I1367" s="72">
        <v>682.5</v>
      </c>
      <c r="J1367" s="70">
        <v>0.96874999999999967</v>
      </c>
    </row>
    <row r="1368" spans="9:10" x14ac:dyDescent="0.3">
      <c r="I1368" s="72">
        <v>683</v>
      </c>
      <c r="J1368" s="70">
        <v>0.96874999999999967</v>
      </c>
    </row>
    <row r="1369" spans="9:10" x14ac:dyDescent="0.3">
      <c r="I1369" s="72">
        <v>683.5</v>
      </c>
      <c r="J1369" s="70">
        <v>0.96874999999999967</v>
      </c>
    </row>
    <row r="1370" spans="9:10" x14ac:dyDescent="0.3">
      <c r="I1370" s="72">
        <v>684</v>
      </c>
      <c r="J1370" s="70">
        <v>0.96874999999999967</v>
      </c>
    </row>
    <row r="1371" spans="9:10" x14ac:dyDescent="0.3">
      <c r="I1371" s="72">
        <v>684.5</v>
      </c>
      <c r="J1371" s="70">
        <v>0.96874999999999967</v>
      </c>
    </row>
    <row r="1372" spans="9:10" x14ac:dyDescent="0.3">
      <c r="I1372" s="72">
        <v>685</v>
      </c>
      <c r="J1372" s="70">
        <v>0.96874999999999967</v>
      </c>
    </row>
    <row r="1373" spans="9:10" x14ac:dyDescent="0.3">
      <c r="I1373" s="72">
        <v>685.5</v>
      </c>
      <c r="J1373" s="70">
        <v>0.96874999999999967</v>
      </c>
    </row>
    <row r="1374" spans="9:10" x14ac:dyDescent="0.3">
      <c r="I1374" s="72">
        <v>686</v>
      </c>
      <c r="J1374" s="70">
        <v>0.96874999999999967</v>
      </c>
    </row>
    <row r="1375" spans="9:10" x14ac:dyDescent="0.3">
      <c r="I1375" s="72">
        <v>686.5</v>
      </c>
      <c r="J1375" s="70">
        <v>0.96874999999999967</v>
      </c>
    </row>
    <row r="1376" spans="9:10" x14ac:dyDescent="0.3">
      <c r="I1376" s="72">
        <v>687</v>
      </c>
      <c r="J1376" s="70">
        <v>0.96874999999999967</v>
      </c>
    </row>
    <row r="1377" spans="9:10" x14ac:dyDescent="0.3">
      <c r="I1377" s="72">
        <v>687.5</v>
      </c>
      <c r="J1377" s="70">
        <v>0.96874999999999967</v>
      </c>
    </row>
    <row r="1378" spans="9:10" x14ac:dyDescent="0.3">
      <c r="I1378" s="72">
        <v>688</v>
      </c>
      <c r="J1378" s="70">
        <v>0.96874999999999967</v>
      </c>
    </row>
    <row r="1379" spans="9:10" x14ac:dyDescent="0.3">
      <c r="I1379" s="72">
        <v>688.5</v>
      </c>
      <c r="J1379" s="70">
        <v>0.96874999999999967</v>
      </c>
    </row>
    <row r="1380" spans="9:10" x14ac:dyDescent="0.3">
      <c r="I1380" s="72">
        <v>689</v>
      </c>
      <c r="J1380" s="70">
        <v>0.96874999999999967</v>
      </c>
    </row>
    <row r="1381" spans="9:10" x14ac:dyDescent="0.3">
      <c r="I1381" s="72">
        <v>689.5</v>
      </c>
      <c r="J1381" s="70">
        <v>0.96874999999999967</v>
      </c>
    </row>
    <row r="1382" spans="9:10" x14ac:dyDescent="0.3">
      <c r="I1382" s="72">
        <v>690</v>
      </c>
      <c r="J1382" s="70">
        <v>0.96874999999999967</v>
      </c>
    </row>
    <row r="1383" spans="9:10" x14ac:dyDescent="0.3">
      <c r="I1383" s="72">
        <v>690.5</v>
      </c>
      <c r="J1383" s="70">
        <v>0.96874999999999967</v>
      </c>
    </row>
    <row r="1384" spans="9:10" x14ac:dyDescent="0.3">
      <c r="I1384" s="72">
        <v>691</v>
      </c>
      <c r="J1384" s="70">
        <v>0.96874999999999967</v>
      </c>
    </row>
    <row r="1385" spans="9:10" x14ac:dyDescent="0.3">
      <c r="I1385" s="72">
        <v>691.5</v>
      </c>
      <c r="J1385" s="70">
        <v>0.96874999999999967</v>
      </c>
    </row>
    <row r="1386" spans="9:10" x14ac:dyDescent="0.3">
      <c r="I1386" s="72">
        <v>692</v>
      </c>
      <c r="J1386" s="70">
        <v>0.96874999999999967</v>
      </c>
    </row>
    <row r="1387" spans="9:10" x14ac:dyDescent="0.3">
      <c r="I1387" s="72">
        <v>692.5</v>
      </c>
      <c r="J1387" s="70">
        <v>0.96874999999999967</v>
      </c>
    </row>
    <row r="1388" spans="9:10" x14ac:dyDescent="0.3">
      <c r="I1388" s="72">
        <v>693</v>
      </c>
      <c r="J1388" s="70">
        <v>0.96874999999999967</v>
      </c>
    </row>
    <row r="1389" spans="9:10" x14ac:dyDescent="0.3">
      <c r="I1389" s="72">
        <v>693.5</v>
      </c>
      <c r="J1389" s="70">
        <v>0.96874999999999967</v>
      </c>
    </row>
    <row r="1390" spans="9:10" x14ac:dyDescent="0.3">
      <c r="I1390" s="72">
        <v>694</v>
      </c>
      <c r="J1390" s="70">
        <v>0.96874999999999967</v>
      </c>
    </row>
    <row r="1391" spans="9:10" x14ac:dyDescent="0.3">
      <c r="I1391" s="72">
        <v>694.5</v>
      </c>
      <c r="J1391" s="70">
        <v>0.96874999999999967</v>
      </c>
    </row>
    <row r="1392" spans="9:10" x14ac:dyDescent="0.3">
      <c r="I1392" s="72">
        <v>695</v>
      </c>
      <c r="J1392" s="70">
        <v>0.96874999999999967</v>
      </c>
    </row>
    <row r="1393" spans="9:10" x14ac:dyDescent="0.3">
      <c r="I1393" s="72">
        <v>695.5</v>
      </c>
      <c r="J1393" s="70">
        <v>0.96874999999999967</v>
      </c>
    </row>
    <row r="1394" spans="9:10" x14ac:dyDescent="0.3">
      <c r="I1394" s="72">
        <v>696</v>
      </c>
      <c r="J1394" s="70">
        <v>0.96874999999999967</v>
      </c>
    </row>
    <row r="1395" spans="9:10" x14ac:dyDescent="0.3">
      <c r="I1395" s="72">
        <v>696.5</v>
      </c>
      <c r="J1395" s="70">
        <v>0.96874999999999967</v>
      </c>
    </row>
    <row r="1396" spans="9:10" x14ac:dyDescent="0.3">
      <c r="I1396" s="72">
        <v>697</v>
      </c>
      <c r="J1396" s="70">
        <v>0.96874999999999967</v>
      </c>
    </row>
    <row r="1397" spans="9:10" x14ac:dyDescent="0.3">
      <c r="I1397" s="72">
        <v>697.5</v>
      </c>
      <c r="J1397" s="70">
        <v>0.96874999999999967</v>
      </c>
    </row>
    <row r="1398" spans="9:10" x14ac:dyDescent="0.3">
      <c r="I1398" s="72">
        <v>698</v>
      </c>
      <c r="J1398" s="70">
        <v>0.96874999999999967</v>
      </c>
    </row>
    <row r="1399" spans="9:10" x14ac:dyDescent="0.3">
      <c r="I1399" s="72">
        <v>698.5</v>
      </c>
      <c r="J1399" s="70">
        <v>0.96874999999999967</v>
      </c>
    </row>
    <row r="1400" spans="9:10" x14ac:dyDescent="0.3">
      <c r="I1400" s="72">
        <v>699</v>
      </c>
      <c r="J1400" s="70">
        <v>0.96874999999999967</v>
      </c>
    </row>
    <row r="1401" spans="9:10" x14ac:dyDescent="0.3">
      <c r="I1401" s="72">
        <v>699.5</v>
      </c>
      <c r="J1401" s="70">
        <v>0.96874999999999967</v>
      </c>
    </row>
    <row r="1402" spans="9:10" x14ac:dyDescent="0.3">
      <c r="I1402" s="72">
        <v>700</v>
      </c>
      <c r="J1402" s="70">
        <v>0.96874999999999967</v>
      </c>
    </row>
    <row r="1403" spans="9:10" x14ac:dyDescent="0.3">
      <c r="I1403" s="72">
        <v>700.5</v>
      </c>
      <c r="J1403" s="70">
        <v>0.96874999999999967</v>
      </c>
    </row>
    <row r="1404" spans="9:10" x14ac:dyDescent="0.3">
      <c r="I1404" s="72">
        <v>701</v>
      </c>
      <c r="J1404" s="70">
        <v>0.96874999999999967</v>
      </c>
    </row>
    <row r="1405" spans="9:10" x14ac:dyDescent="0.3">
      <c r="I1405" s="72">
        <v>701.5</v>
      </c>
      <c r="J1405" s="70">
        <v>0.96874999999999967</v>
      </c>
    </row>
    <row r="1406" spans="9:10" x14ac:dyDescent="0.3">
      <c r="I1406" s="72">
        <v>702</v>
      </c>
      <c r="J1406" s="70">
        <v>0.96874999999999967</v>
      </c>
    </row>
    <row r="1407" spans="9:10" x14ac:dyDescent="0.3">
      <c r="I1407" s="72">
        <v>702.5</v>
      </c>
      <c r="J1407" s="70">
        <v>0.96874999999999967</v>
      </c>
    </row>
    <row r="1408" spans="9:10" x14ac:dyDescent="0.3">
      <c r="I1408" s="72">
        <v>703</v>
      </c>
      <c r="J1408" s="70">
        <v>0.96874999999999967</v>
      </c>
    </row>
    <row r="1409" spans="9:10" x14ac:dyDescent="0.3">
      <c r="I1409" s="72">
        <v>703.5</v>
      </c>
      <c r="J1409" s="70">
        <v>0.96874999999999967</v>
      </c>
    </row>
    <row r="1410" spans="9:10" x14ac:dyDescent="0.3">
      <c r="I1410" s="72">
        <v>704</v>
      </c>
      <c r="J1410" s="70">
        <v>0.96874999999999967</v>
      </c>
    </row>
    <row r="1411" spans="9:10" x14ac:dyDescent="0.3">
      <c r="I1411" s="72">
        <v>704.5</v>
      </c>
      <c r="J1411" s="70">
        <v>0.96874999999999967</v>
      </c>
    </row>
    <row r="1412" spans="9:10" x14ac:dyDescent="0.3">
      <c r="I1412" s="72">
        <v>705</v>
      </c>
      <c r="J1412" s="70">
        <v>0.96874999999999967</v>
      </c>
    </row>
    <row r="1413" spans="9:10" x14ac:dyDescent="0.3">
      <c r="I1413" s="72">
        <v>705.5</v>
      </c>
      <c r="J1413" s="70">
        <v>0.96874999999999967</v>
      </c>
    </row>
    <row r="1414" spans="9:10" x14ac:dyDescent="0.3">
      <c r="I1414" s="72">
        <v>706</v>
      </c>
      <c r="J1414" s="70">
        <v>0.96874999999999967</v>
      </c>
    </row>
    <row r="1415" spans="9:10" x14ac:dyDescent="0.3">
      <c r="I1415" s="72">
        <v>706.5</v>
      </c>
      <c r="J1415" s="70">
        <v>0.96874999999999967</v>
      </c>
    </row>
    <row r="1416" spans="9:10" x14ac:dyDescent="0.3">
      <c r="I1416" s="72">
        <v>707</v>
      </c>
      <c r="J1416" s="70">
        <v>0.96874999999999967</v>
      </c>
    </row>
    <row r="1417" spans="9:10" x14ac:dyDescent="0.3">
      <c r="I1417" s="72">
        <v>707.5</v>
      </c>
      <c r="J1417" s="70">
        <v>0.96874999999999967</v>
      </c>
    </row>
    <row r="1418" spans="9:10" x14ac:dyDescent="0.3">
      <c r="I1418" s="72">
        <v>708</v>
      </c>
      <c r="J1418" s="70">
        <v>0.96874999999999967</v>
      </c>
    </row>
    <row r="1419" spans="9:10" x14ac:dyDescent="0.3">
      <c r="I1419" s="72">
        <v>708.5</v>
      </c>
      <c r="J1419" s="70">
        <v>0.96874999999999967</v>
      </c>
    </row>
    <row r="1420" spans="9:10" x14ac:dyDescent="0.3">
      <c r="I1420" s="72">
        <v>709</v>
      </c>
      <c r="J1420" s="70">
        <v>0.96874999999999967</v>
      </c>
    </row>
    <row r="1421" spans="9:10" x14ac:dyDescent="0.3">
      <c r="I1421" s="72">
        <v>709.5</v>
      </c>
      <c r="J1421" s="70">
        <v>0.96874999999999967</v>
      </c>
    </row>
    <row r="1422" spans="9:10" x14ac:dyDescent="0.3">
      <c r="I1422" s="72">
        <v>710</v>
      </c>
      <c r="J1422" s="70">
        <v>0.96874999999999967</v>
      </c>
    </row>
    <row r="1423" spans="9:10" x14ac:dyDescent="0.3">
      <c r="I1423" s="72">
        <v>710.5</v>
      </c>
      <c r="J1423" s="70">
        <v>0.96874999999999967</v>
      </c>
    </row>
    <row r="1424" spans="9:10" x14ac:dyDescent="0.3">
      <c r="I1424" s="72">
        <v>711</v>
      </c>
      <c r="J1424" s="70">
        <v>0.96874999999999967</v>
      </c>
    </row>
    <row r="1425" spans="9:10" x14ac:dyDescent="0.3">
      <c r="I1425" s="72">
        <v>711.5</v>
      </c>
      <c r="J1425" s="70">
        <v>0.97058823529411731</v>
      </c>
    </row>
    <row r="1426" spans="9:10" x14ac:dyDescent="0.3">
      <c r="I1426" s="72">
        <v>712</v>
      </c>
      <c r="J1426" s="70">
        <v>0.97058823529411731</v>
      </c>
    </row>
    <row r="1427" spans="9:10" x14ac:dyDescent="0.3">
      <c r="I1427" s="72">
        <v>712.5</v>
      </c>
      <c r="J1427" s="70">
        <v>0.97058823529411731</v>
      </c>
    </row>
    <row r="1428" spans="9:10" x14ac:dyDescent="0.3">
      <c r="I1428" s="72">
        <v>713</v>
      </c>
      <c r="J1428" s="70">
        <v>0.97058823529411731</v>
      </c>
    </row>
    <row r="1429" spans="9:10" x14ac:dyDescent="0.3">
      <c r="I1429" s="72">
        <v>713.5</v>
      </c>
      <c r="J1429" s="70">
        <v>0.97058823529411731</v>
      </c>
    </row>
    <row r="1430" spans="9:10" x14ac:dyDescent="0.3">
      <c r="I1430" s="72">
        <v>714</v>
      </c>
      <c r="J1430" s="70">
        <v>0.97058823529411731</v>
      </c>
    </row>
    <row r="1431" spans="9:10" x14ac:dyDescent="0.3">
      <c r="I1431" s="72">
        <v>714.5</v>
      </c>
      <c r="J1431" s="70">
        <v>0.97058823529411731</v>
      </c>
    </row>
    <row r="1432" spans="9:10" x14ac:dyDescent="0.3">
      <c r="I1432" s="72">
        <v>715</v>
      </c>
      <c r="J1432" s="70">
        <v>0.97058823529411731</v>
      </c>
    </row>
    <row r="1433" spans="9:10" x14ac:dyDescent="0.3">
      <c r="I1433" s="72">
        <v>715.5</v>
      </c>
      <c r="J1433" s="70">
        <v>0.97058823529411731</v>
      </c>
    </row>
    <row r="1434" spans="9:10" x14ac:dyDescent="0.3">
      <c r="I1434" s="72">
        <v>716</v>
      </c>
      <c r="J1434" s="70">
        <v>0.97058823529411731</v>
      </c>
    </row>
    <row r="1435" spans="9:10" x14ac:dyDescent="0.3">
      <c r="I1435" s="72">
        <v>716.5</v>
      </c>
      <c r="J1435" s="70">
        <v>0.97058823529411731</v>
      </c>
    </row>
    <row r="1436" spans="9:10" x14ac:dyDescent="0.3">
      <c r="I1436" s="72">
        <v>717</v>
      </c>
      <c r="J1436" s="70">
        <v>0.97058823529411731</v>
      </c>
    </row>
    <row r="1437" spans="9:10" x14ac:dyDescent="0.3">
      <c r="I1437" s="72">
        <v>717.5</v>
      </c>
      <c r="J1437" s="70">
        <v>0.97058823529411731</v>
      </c>
    </row>
    <row r="1438" spans="9:10" x14ac:dyDescent="0.3">
      <c r="I1438" s="72">
        <v>718</v>
      </c>
      <c r="J1438" s="70">
        <v>0.97058823529411731</v>
      </c>
    </row>
    <row r="1439" spans="9:10" x14ac:dyDescent="0.3">
      <c r="I1439" s="72">
        <v>718.5</v>
      </c>
      <c r="J1439" s="70">
        <v>0.97058823529411731</v>
      </c>
    </row>
    <row r="1440" spans="9:10" x14ac:dyDescent="0.3">
      <c r="I1440" s="72">
        <v>719</v>
      </c>
      <c r="J1440" s="70">
        <v>0.97058823529411731</v>
      </c>
    </row>
    <row r="1441" spans="9:10" x14ac:dyDescent="0.3">
      <c r="I1441" s="72">
        <v>719.5</v>
      </c>
      <c r="J1441" s="70">
        <v>0.97058823529411731</v>
      </c>
    </row>
    <row r="1442" spans="9:10" x14ac:dyDescent="0.3">
      <c r="I1442" s="72">
        <v>720</v>
      </c>
      <c r="J1442" s="70">
        <v>0.97058823529411731</v>
      </c>
    </row>
    <row r="1443" spans="9:10" x14ac:dyDescent="0.3">
      <c r="I1443" s="72">
        <v>720.5</v>
      </c>
      <c r="J1443" s="70">
        <v>0.97058823529411731</v>
      </c>
    </row>
    <row r="1444" spans="9:10" x14ac:dyDescent="0.3">
      <c r="I1444" s="72">
        <v>721</v>
      </c>
      <c r="J1444" s="70">
        <v>0.97058823529411731</v>
      </c>
    </row>
    <row r="1445" spans="9:10" x14ac:dyDescent="0.3">
      <c r="I1445" s="72">
        <v>721.5</v>
      </c>
      <c r="J1445" s="70">
        <v>0.97058823529411731</v>
      </c>
    </row>
    <row r="1446" spans="9:10" x14ac:dyDescent="0.3">
      <c r="I1446" s="72">
        <v>722</v>
      </c>
      <c r="J1446" s="70">
        <v>0.97058823529411731</v>
      </c>
    </row>
    <row r="1447" spans="9:10" x14ac:dyDescent="0.3">
      <c r="I1447" s="72">
        <v>722.5</v>
      </c>
      <c r="J1447" s="70">
        <v>0.97058823529411731</v>
      </c>
    </row>
    <row r="1448" spans="9:10" x14ac:dyDescent="0.3">
      <c r="I1448" s="72">
        <v>723</v>
      </c>
      <c r="J1448" s="70">
        <v>0.97058823529411731</v>
      </c>
    </row>
    <row r="1449" spans="9:10" x14ac:dyDescent="0.3">
      <c r="I1449" s="72">
        <v>723.5</v>
      </c>
      <c r="J1449" s="70">
        <v>0.97058823529411731</v>
      </c>
    </row>
    <row r="1450" spans="9:10" x14ac:dyDescent="0.3">
      <c r="I1450" s="72">
        <v>724</v>
      </c>
      <c r="J1450" s="70">
        <v>0.97058823529411731</v>
      </c>
    </row>
    <row r="1451" spans="9:10" x14ac:dyDescent="0.3">
      <c r="I1451" s="72">
        <v>724.5</v>
      </c>
      <c r="J1451" s="70">
        <v>0.97058823529411731</v>
      </c>
    </row>
    <row r="1452" spans="9:10" x14ac:dyDescent="0.3">
      <c r="I1452" s="72">
        <v>725</v>
      </c>
      <c r="J1452" s="70">
        <v>0.97058823529411731</v>
      </c>
    </row>
    <row r="1453" spans="9:10" x14ac:dyDescent="0.3">
      <c r="I1453" s="72">
        <v>725.5</v>
      </c>
      <c r="J1453" s="70">
        <v>0.97058823529411731</v>
      </c>
    </row>
    <row r="1454" spans="9:10" x14ac:dyDescent="0.3">
      <c r="I1454" s="72">
        <v>726</v>
      </c>
      <c r="J1454" s="70">
        <v>0.97058823529411731</v>
      </c>
    </row>
    <row r="1455" spans="9:10" x14ac:dyDescent="0.3">
      <c r="I1455" s="72">
        <v>726.5</v>
      </c>
      <c r="J1455" s="70">
        <v>0.97058823529411731</v>
      </c>
    </row>
    <row r="1456" spans="9:10" x14ac:dyDescent="0.3">
      <c r="I1456" s="72">
        <v>727</v>
      </c>
      <c r="J1456" s="70">
        <v>0.97058823529411731</v>
      </c>
    </row>
    <row r="1457" spans="9:10" x14ac:dyDescent="0.3">
      <c r="I1457" s="72">
        <v>727.5</v>
      </c>
      <c r="J1457" s="70">
        <v>0.97058823529411731</v>
      </c>
    </row>
    <row r="1458" spans="9:10" x14ac:dyDescent="0.3">
      <c r="I1458" s="72">
        <v>728</v>
      </c>
      <c r="J1458" s="70">
        <v>0.97058823529411731</v>
      </c>
    </row>
    <row r="1459" spans="9:10" x14ac:dyDescent="0.3">
      <c r="I1459" s="72">
        <v>728.5</v>
      </c>
      <c r="J1459" s="70">
        <v>0.97058823529411731</v>
      </c>
    </row>
    <row r="1460" spans="9:10" x14ac:dyDescent="0.3">
      <c r="I1460" s="72">
        <v>729</v>
      </c>
      <c r="J1460" s="70">
        <v>0.97058823529411731</v>
      </c>
    </row>
    <row r="1461" spans="9:10" x14ac:dyDescent="0.3">
      <c r="I1461" s="72">
        <v>729.5</v>
      </c>
      <c r="J1461" s="70">
        <v>0.97058823529411731</v>
      </c>
    </row>
    <row r="1462" spans="9:10" x14ac:dyDescent="0.3">
      <c r="I1462" s="72">
        <v>730</v>
      </c>
      <c r="J1462" s="70">
        <v>0.97058823529411731</v>
      </c>
    </row>
    <row r="1463" spans="9:10" x14ac:dyDescent="0.3">
      <c r="I1463" s="72">
        <v>730.5</v>
      </c>
      <c r="J1463" s="70">
        <v>0.97058823529411731</v>
      </c>
    </row>
    <row r="1464" spans="9:10" x14ac:dyDescent="0.3">
      <c r="I1464" s="72">
        <v>731</v>
      </c>
      <c r="J1464" s="70">
        <v>0.97058823529411731</v>
      </c>
    </row>
    <row r="1465" spans="9:10" x14ac:dyDescent="0.3">
      <c r="I1465" s="72">
        <v>731.5</v>
      </c>
      <c r="J1465" s="70">
        <v>0.97058823529411731</v>
      </c>
    </row>
    <row r="1466" spans="9:10" x14ac:dyDescent="0.3">
      <c r="I1466" s="72">
        <v>732</v>
      </c>
      <c r="J1466" s="70">
        <v>0.97058823529411731</v>
      </c>
    </row>
    <row r="1467" spans="9:10" x14ac:dyDescent="0.3">
      <c r="I1467" s="72">
        <v>732.5</v>
      </c>
      <c r="J1467" s="70">
        <v>0.97058823529411731</v>
      </c>
    </row>
    <row r="1468" spans="9:10" x14ac:dyDescent="0.3">
      <c r="I1468" s="72">
        <v>733</v>
      </c>
      <c r="J1468" s="70">
        <v>0.97058823529411731</v>
      </c>
    </row>
    <row r="1469" spans="9:10" x14ac:dyDescent="0.3">
      <c r="I1469" s="72">
        <v>733.5</v>
      </c>
      <c r="J1469" s="70">
        <v>0.97058823529411731</v>
      </c>
    </row>
    <row r="1470" spans="9:10" x14ac:dyDescent="0.3">
      <c r="I1470" s="72">
        <v>734</v>
      </c>
      <c r="J1470" s="70">
        <v>0.97058823529411731</v>
      </c>
    </row>
    <row r="1471" spans="9:10" x14ac:dyDescent="0.3">
      <c r="I1471" s="72">
        <v>734.5</v>
      </c>
      <c r="J1471" s="70">
        <v>0.97058823529411731</v>
      </c>
    </row>
    <row r="1472" spans="9:10" x14ac:dyDescent="0.3">
      <c r="I1472" s="72">
        <v>735</v>
      </c>
      <c r="J1472" s="70">
        <v>0.97058823529411731</v>
      </c>
    </row>
    <row r="1473" spans="9:10" x14ac:dyDescent="0.3">
      <c r="I1473" s="72">
        <v>735.5</v>
      </c>
      <c r="J1473" s="70">
        <v>0.97058823529411731</v>
      </c>
    </row>
    <row r="1474" spans="9:10" x14ac:dyDescent="0.3">
      <c r="I1474" s="72">
        <v>736</v>
      </c>
      <c r="J1474" s="70">
        <v>0.97058823529411731</v>
      </c>
    </row>
    <row r="1475" spans="9:10" x14ac:dyDescent="0.3">
      <c r="I1475" s="72">
        <v>736.5</v>
      </c>
      <c r="J1475" s="70">
        <v>0.97058823529411731</v>
      </c>
    </row>
    <row r="1476" spans="9:10" x14ac:dyDescent="0.3">
      <c r="I1476" s="72">
        <v>737</v>
      </c>
      <c r="J1476" s="70">
        <v>0.97058823529411731</v>
      </c>
    </row>
    <row r="1477" spans="9:10" x14ac:dyDescent="0.3">
      <c r="I1477" s="72">
        <v>737.5</v>
      </c>
      <c r="J1477" s="70">
        <v>0.97058823529411731</v>
      </c>
    </row>
    <row r="1478" spans="9:10" x14ac:dyDescent="0.3">
      <c r="I1478" s="72">
        <v>738</v>
      </c>
      <c r="J1478" s="70">
        <v>0.97058823529411731</v>
      </c>
    </row>
    <row r="1479" spans="9:10" x14ac:dyDescent="0.3">
      <c r="I1479" s="72">
        <v>738.5</v>
      </c>
      <c r="J1479" s="70">
        <v>0.97058823529411731</v>
      </c>
    </row>
    <row r="1480" spans="9:10" x14ac:dyDescent="0.3">
      <c r="I1480" s="72">
        <v>739</v>
      </c>
      <c r="J1480" s="70">
        <v>0.97058823529411731</v>
      </c>
    </row>
    <row r="1481" spans="9:10" x14ac:dyDescent="0.3">
      <c r="I1481" s="72">
        <v>739.5</v>
      </c>
      <c r="J1481" s="70">
        <v>0.97058823529411731</v>
      </c>
    </row>
    <row r="1482" spans="9:10" x14ac:dyDescent="0.3">
      <c r="I1482" s="72">
        <v>740</v>
      </c>
      <c r="J1482" s="70">
        <v>0.97058823529411731</v>
      </c>
    </row>
    <row r="1483" spans="9:10" x14ac:dyDescent="0.3">
      <c r="I1483" s="72">
        <v>740.5</v>
      </c>
      <c r="J1483" s="70">
        <v>0.97058823529411731</v>
      </c>
    </row>
    <row r="1484" spans="9:10" x14ac:dyDescent="0.3">
      <c r="I1484" s="72">
        <v>741</v>
      </c>
      <c r="J1484" s="70">
        <v>0.97058823529411731</v>
      </c>
    </row>
    <row r="1485" spans="9:10" x14ac:dyDescent="0.3">
      <c r="I1485" s="72">
        <v>741.5</v>
      </c>
      <c r="J1485" s="70">
        <v>0.97058823529411731</v>
      </c>
    </row>
    <row r="1486" spans="9:10" x14ac:dyDescent="0.3">
      <c r="I1486" s="72">
        <v>742</v>
      </c>
      <c r="J1486" s="70">
        <v>0.97058823529411731</v>
      </c>
    </row>
    <row r="1487" spans="9:10" x14ac:dyDescent="0.3">
      <c r="I1487" s="72">
        <v>742.5</v>
      </c>
      <c r="J1487" s="70">
        <v>0.97058823529411731</v>
      </c>
    </row>
    <row r="1488" spans="9:10" x14ac:dyDescent="0.3">
      <c r="I1488" s="72">
        <v>743</v>
      </c>
      <c r="J1488" s="70">
        <v>0.97058823529411731</v>
      </c>
    </row>
    <row r="1489" spans="9:10" x14ac:dyDescent="0.3">
      <c r="I1489" s="72">
        <v>743.5</v>
      </c>
      <c r="J1489" s="70">
        <v>0.97058823529411731</v>
      </c>
    </row>
    <row r="1490" spans="9:10" x14ac:dyDescent="0.3">
      <c r="I1490" s="72">
        <v>744</v>
      </c>
      <c r="J1490" s="70">
        <v>0.97058823529411731</v>
      </c>
    </row>
    <row r="1491" spans="9:10" x14ac:dyDescent="0.3">
      <c r="I1491" s="72">
        <v>744.5</v>
      </c>
      <c r="J1491" s="70">
        <v>0.97058823529411731</v>
      </c>
    </row>
    <row r="1492" spans="9:10" x14ac:dyDescent="0.3">
      <c r="I1492" s="72">
        <v>745</v>
      </c>
      <c r="J1492" s="70">
        <v>0.97058823529411731</v>
      </c>
    </row>
    <row r="1493" spans="9:10" x14ac:dyDescent="0.3">
      <c r="I1493" s="72">
        <v>745.5</v>
      </c>
      <c r="J1493" s="70">
        <v>0.97058823529411731</v>
      </c>
    </row>
    <row r="1494" spans="9:10" x14ac:dyDescent="0.3">
      <c r="I1494" s="72">
        <v>746</v>
      </c>
      <c r="J1494" s="70">
        <v>0.97058823529411731</v>
      </c>
    </row>
    <row r="1495" spans="9:10" x14ac:dyDescent="0.3">
      <c r="I1495" s="72">
        <v>746.5</v>
      </c>
      <c r="J1495" s="70">
        <v>0.97058823529411731</v>
      </c>
    </row>
    <row r="1496" spans="9:10" x14ac:dyDescent="0.3">
      <c r="I1496" s="72">
        <v>747</v>
      </c>
      <c r="J1496" s="70">
        <v>0.97058823529411731</v>
      </c>
    </row>
    <row r="1497" spans="9:10" x14ac:dyDescent="0.3">
      <c r="I1497" s="72">
        <v>747.5</v>
      </c>
      <c r="J1497" s="70">
        <v>0.97058823529411731</v>
      </c>
    </row>
    <row r="1498" spans="9:10" x14ac:dyDescent="0.3">
      <c r="I1498" s="72">
        <v>748</v>
      </c>
      <c r="J1498" s="70">
        <v>0.97058823529411731</v>
      </c>
    </row>
    <row r="1499" spans="9:10" x14ac:dyDescent="0.3">
      <c r="I1499" s="72">
        <v>748.5</v>
      </c>
      <c r="J1499" s="70">
        <v>0.97058823529411731</v>
      </c>
    </row>
    <row r="1500" spans="9:10" x14ac:dyDescent="0.3">
      <c r="I1500" s="72">
        <v>749</v>
      </c>
      <c r="J1500" s="70">
        <v>0.97058823529411731</v>
      </c>
    </row>
    <row r="1501" spans="9:10" x14ac:dyDescent="0.3">
      <c r="I1501" s="72">
        <v>749.5</v>
      </c>
      <c r="J1501" s="70">
        <v>0.97058823529411731</v>
      </c>
    </row>
    <row r="1502" spans="9:10" x14ac:dyDescent="0.3">
      <c r="I1502" s="72">
        <v>750</v>
      </c>
      <c r="J1502" s="70">
        <v>0.97058823529411731</v>
      </c>
    </row>
    <row r="1503" spans="9:10" x14ac:dyDescent="0.3">
      <c r="I1503" s="72">
        <v>750.5</v>
      </c>
      <c r="J1503" s="70">
        <v>0.97058823529411731</v>
      </c>
    </row>
    <row r="1504" spans="9:10" x14ac:dyDescent="0.3">
      <c r="I1504" s="72">
        <v>751</v>
      </c>
      <c r="J1504" s="70">
        <v>0.97058823529411731</v>
      </c>
    </row>
    <row r="1505" spans="9:10" x14ac:dyDescent="0.3">
      <c r="I1505" s="72">
        <v>751.5</v>
      </c>
      <c r="J1505" s="70">
        <v>0.97058823529411731</v>
      </c>
    </row>
    <row r="1506" spans="9:10" x14ac:dyDescent="0.3">
      <c r="I1506" s="72">
        <v>752</v>
      </c>
      <c r="J1506" s="70">
        <v>0.97058823529411731</v>
      </c>
    </row>
    <row r="1507" spans="9:10" x14ac:dyDescent="0.3">
      <c r="I1507" s="72">
        <v>752.5</v>
      </c>
      <c r="J1507" s="70">
        <v>0.97058823529411731</v>
      </c>
    </row>
    <row r="1508" spans="9:10" x14ac:dyDescent="0.3">
      <c r="I1508" s="72">
        <v>753</v>
      </c>
      <c r="J1508" s="70">
        <v>0.97058823529411731</v>
      </c>
    </row>
    <row r="1509" spans="9:10" x14ac:dyDescent="0.3">
      <c r="I1509" s="72">
        <v>753.5</v>
      </c>
      <c r="J1509" s="70">
        <v>0.97058823529411731</v>
      </c>
    </row>
    <row r="1510" spans="9:10" x14ac:dyDescent="0.3">
      <c r="I1510" s="72">
        <v>754</v>
      </c>
      <c r="J1510" s="70">
        <v>0.97058823529411731</v>
      </c>
    </row>
    <row r="1511" spans="9:10" x14ac:dyDescent="0.3">
      <c r="I1511" s="72">
        <v>754.5</v>
      </c>
      <c r="J1511" s="70">
        <v>0.97058823529411731</v>
      </c>
    </row>
    <row r="1512" spans="9:10" x14ac:dyDescent="0.3">
      <c r="I1512" s="72">
        <v>755</v>
      </c>
      <c r="J1512" s="70">
        <v>0.97058823529411731</v>
      </c>
    </row>
    <row r="1513" spans="9:10" x14ac:dyDescent="0.3">
      <c r="I1513" s="72">
        <v>755.5</v>
      </c>
      <c r="J1513" s="70">
        <v>0.97242647058823495</v>
      </c>
    </row>
    <row r="1514" spans="9:10" x14ac:dyDescent="0.3">
      <c r="I1514" s="72">
        <v>756</v>
      </c>
      <c r="J1514" s="70">
        <v>0.97242647058823495</v>
      </c>
    </row>
    <row r="1515" spans="9:10" x14ac:dyDescent="0.3">
      <c r="I1515" s="72">
        <v>756.5</v>
      </c>
      <c r="J1515" s="70">
        <v>0.97242647058823495</v>
      </c>
    </row>
    <row r="1516" spans="9:10" x14ac:dyDescent="0.3">
      <c r="I1516" s="72">
        <v>757</v>
      </c>
      <c r="J1516" s="70">
        <v>0.97242647058823495</v>
      </c>
    </row>
    <row r="1517" spans="9:10" x14ac:dyDescent="0.3">
      <c r="I1517" s="72">
        <v>757.5</v>
      </c>
      <c r="J1517" s="70">
        <v>0.97242647058823495</v>
      </c>
    </row>
    <row r="1518" spans="9:10" x14ac:dyDescent="0.3">
      <c r="I1518" s="72">
        <v>758</v>
      </c>
      <c r="J1518" s="70">
        <v>0.97242647058823495</v>
      </c>
    </row>
    <row r="1519" spans="9:10" x14ac:dyDescent="0.3">
      <c r="I1519" s="72">
        <v>758.5</v>
      </c>
      <c r="J1519" s="70">
        <v>0.97242647058823495</v>
      </c>
    </row>
    <row r="1520" spans="9:10" x14ac:dyDescent="0.3">
      <c r="I1520" s="72">
        <v>759</v>
      </c>
      <c r="J1520" s="70">
        <v>0.97242647058823495</v>
      </c>
    </row>
    <row r="1521" spans="9:10" x14ac:dyDescent="0.3">
      <c r="I1521" s="72">
        <v>759.5</v>
      </c>
      <c r="J1521" s="70">
        <v>0.97242647058823495</v>
      </c>
    </row>
    <row r="1522" spans="9:10" x14ac:dyDescent="0.3">
      <c r="I1522" s="72">
        <v>760</v>
      </c>
      <c r="J1522" s="70">
        <v>0.97242647058823495</v>
      </c>
    </row>
    <row r="1523" spans="9:10" x14ac:dyDescent="0.3">
      <c r="I1523" s="72">
        <v>760.5</v>
      </c>
      <c r="J1523" s="70">
        <v>0.97242647058823495</v>
      </c>
    </row>
    <row r="1524" spans="9:10" x14ac:dyDescent="0.3">
      <c r="I1524" s="72">
        <v>761</v>
      </c>
      <c r="J1524" s="70">
        <v>0.97242647058823495</v>
      </c>
    </row>
    <row r="1525" spans="9:10" x14ac:dyDescent="0.3">
      <c r="I1525" s="72">
        <v>761.5</v>
      </c>
      <c r="J1525" s="70">
        <v>0.97242647058823495</v>
      </c>
    </row>
    <row r="1526" spans="9:10" x14ac:dyDescent="0.3">
      <c r="I1526" s="72">
        <v>762</v>
      </c>
      <c r="J1526" s="70">
        <v>0.97242647058823495</v>
      </c>
    </row>
    <row r="1527" spans="9:10" x14ac:dyDescent="0.3">
      <c r="I1527" s="72">
        <v>762.5</v>
      </c>
      <c r="J1527" s="70">
        <v>0.97242647058823495</v>
      </c>
    </row>
    <row r="1528" spans="9:10" x14ac:dyDescent="0.3">
      <c r="I1528" s="72">
        <v>763</v>
      </c>
      <c r="J1528" s="70">
        <v>0.97242647058823495</v>
      </c>
    </row>
    <row r="1529" spans="9:10" x14ac:dyDescent="0.3">
      <c r="I1529" s="72">
        <v>763.5</v>
      </c>
      <c r="J1529" s="70">
        <v>0.97242647058823495</v>
      </c>
    </row>
    <row r="1530" spans="9:10" x14ac:dyDescent="0.3">
      <c r="I1530" s="72">
        <v>764</v>
      </c>
      <c r="J1530" s="70">
        <v>0.97242647058823495</v>
      </c>
    </row>
    <row r="1531" spans="9:10" x14ac:dyDescent="0.3">
      <c r="I1531" s="72">
        <v>764.5</v>
      </c>
      <c r="J1531" s="70">
        <v>0.97242647058823495</v>
      </c>
    </row>
    <row r="1532" spans="9:10" x14ac:dyDescent="0.3">
      <c r="I1532" s="72">
        <v>765</v>
      </c>
      <c r="J1532" s="70">
        <v>0.97242647058823495</v>
      </c>
    </row>
    <row r="1533" spans="9:10" x14ac:dyDescent="0.3">
      <c r="I1533" s="72">
        <v>765.5</v>
      </c>
      <c r="J1533" s="70">
        <v>0.97242647058823495</v>
      </c>
    </row>
    <row r="1534" spans="9:10" x14ac:dyDescent="0.3">
      <c r="I1534" s="72">
        <v>766</v>
      </c>
      <c r="J1534" s="70">
        <v>0.97242647058823495</v>
      </c>
    </row>
    <row r="1535" spans="9:10" x14ac:dyDescent="0.3">
      <c r="I1535" s="72">
        <v>766.5</v>
      </c>
      <c r="J1535" s="70">
        <v>0.97242647058823495</v>
      </c>
    </row>
    <row r="1536" spans="9:10" x14ac:dyDescent="0.3">
      <c r="I1536" s="72">
        <v>767</v>
      </c>
      <c r="J1536" s="70">
        <v>0.97242647058823495</v>
      </c>
    </row>
    <row r="1537" spans="9:10" x14ac:dyDescent="0.3">
      <c r="I1537" s="72">
        <v>767.5</v>
      </c>
      <c r="J1537" s="70">
        <v>0.97242647058823495</v>
      </c>
    </row>
    <row r="1538" spans="9:10" x14ac:dyDescent="0.3">
      <c r="I1538" s="72">
        <v>768</v>
      </c>
      <c r="J1538" s="70">
        <v>0.97242647058823495</v>
      </c>
    </row>
    <row r="1539" spans="9:10" x14ac:dyDescent="0.3">
      <c r="I1539" s="72">
        <v>768.5</v>
      </c>
      <c r="J1539" s="70">
        <v>0.97242647058823495</v>
      </c>
    </row>
    <row r="1540" spans="9:10" x14ac:dyDescent="0.3">
      <c r="I1540" s="72">
        <v>769</v>
      </c>
      <c r="J1540" s="70">
        <v>0.97242647058823495</v>
      </c>
    </row>
    <row r="1541" spans="9:10" x14ac:dyDescent="0.3">
      <c r="I1541" s="72">
        <v>769.5</v>
      </c>
      <c r="J1541" s="70">
        <v>0.97242647058823495</v>
      </c>
    </row>
    <row r="1542" spans="9:10" x14ac:dyDescent="0.3">
      <c r="I1542" s="72">
        <v>770</v>
      </c>
      <c r="J1542" s="70">
        <v>0.97242647058823495</v>
      </c>
    </row>
    <row r="1543" spans="9:10" x14ac:dyDescent="0.3">
      <c r="I1543" s="72">
        <v>770.5</v>
      </c>
      <c r="J1543" s="70">
        <v>0.97242647058823495</v>
      </c>
    </row>
    <row r="1544" spans="9:10" x14ac:dyDescent="0.3">
      <c r="I1544" s="72">
        <v>771</v>
      </c>
      <c r="J1544" s="70">
        <v>0.97242647058823495</v>
      </c>
    </row>
    <row r="1545" spans="9:10" x14ac:dyDescent="0.3">
      <c r="I1545" s="72">
        <v>771.5</v>
      </c>
      <c r="J1545" s="70">
        <v>0.97242647058823495</v>
      </c>
    </row>
    <row r="1546" spans="9:10" x14ac:dyDescent="0.3">
      <c r="I1546" s="72">
        <v>772</v>
      </c>
      <c r="J1546" s="70">
        <v>0.97242647058823495</v>
      </c>
    </row>
    <row r="1547" spans="9:10" x14ac:dyDescent="0.3">
      <c r="I1547" s="72">
        <v>772.5</v>
      </c>
      <c r="J1547" s="70">
        <v>0.97242647058823495</v>
      </c>
    </row>
    <row r="1548" spans="9:10" x14ac:dyDescent="0.3">
      <c r="I1548" s="72">
        <v>773</v>
      </c>
      <c r="J1548" s="70">
        <v>0.97242647058823495</v>
      </c>
    </row>
    <row r="1549" spans="9:10" x14ac:dyDescent="0.3">
      <c r="I1549" s="72">
        <v>773.5</v>
      </c>
      <c r="J1549" s="70">
        <v>0.97242647058823495</v>
      </c>
    </row>
    <row r="1550" spans="9:10" x14ac:dyDescent="0.3">
      <c r="I1550" s="72">
        <v>774</v>
      </c>
      <c r="J1550" s="70">
        <v>0.97242647058823495</v>
      </c>
    </row>
    <row r="1551" spans="9:10" x14ac:dyDescent="0.3">
      <c r="I1551" s="72">
        <v>774.5</v>
      </c>
      <c r="J1551" s="70">
        <v>0.97242647058823495</v>
      </c>
    </row>
    <row r="1552" spans="9:10" x14ac:dyDescent="0.3">
      <c r="I1552" s="72">
        <v>775</v>
      </c>
      <c r="J1552" s="70">
        <v>0.97242647058823495</v>
      </c>
    </row>
    <row r="1553" spans="9:10" x14ac:dyDescent="0.3">
      <c r="I1553" s="72">
        <v>775.5</v>
      </c>
      <c r="J1553" s="70">
        <v>0.97242647058823495</v>
      </c>
    </row>
    <row r="1554" spans="9:10" x14ac:dyDescent="0.3">
      <c r="I1554" s="72">
        <v>776</v>
      </c>
      <c r="J1554" s="70">
        <v>0.97242647058823495</v>
      </c>
    </row>
    <row r="1555" spans="9:10" x14ac:dyDescent="0.3">
      <c r="I1555" s="72">
        <v>776.5</v>
      </c>
      <c r="J1555" s="70">
        <v>0.97242647058823495</v>
      </c>
    </row>
    <row r="1556" spans="9:10" x14ac:dyDescent="0.3">
      <c r="I1556" s="72">
        <v>777</v>
      </c>
      <c r="J1556" s="70">
        <v>0.97242647058823495</v>
      </c>
    </row>
    <row r="1557" spans="9:10" x14ac:dyDescent="0.3">
      <c r="I1557" s="72">
        <v>777.5</v>
      </c>
      <c r="J1557" s="70">
        <v>0.97242647058823495</v>
      </c>
    </row>
    <row r="1558" spans="9:10" x14ac:dyDescent="0.3">
      <c r="I1558" s="72">
        <v>778</v>
      </c>
      <c r="J1558" s="70">
        <v>0.97242647058823495</v>
      </c>
    </row>
    <row r="1559" spans="9:10" x14ac:dyDescent="0.3">
      <c r="I1559" s="72">
        <v>778.5</v>
      </c>
      <c r="J1559" s="70">
        <v>0.97242647058823495</v>
      </c>
    </row>
    <row r="1560" spans="9:10" x14ac:dyDescent="0.3">
      <c r="I1560" s="72">
        <v>779</v>
      </c>
      <c r="J1560" s="70">
        <v>0.97242647058823495</v>
      </c>
    </row>
    <row r="1561" spans="9:10" x14ac:dyDescent="0.3">
      <c r="I1561" s="72">
        <v>779.5</v>
      </c>
      <c r="J1561" s="70">
        <v>0.97242647058823495</v>
      </c>
    </row>
    <row r="1562" spans="9:10" x14ac:dyDescent="0.3">
      <c r="I1562" s="72">
        <v>780</v>
      </c>
      <c r="J1562" s="70">
        <v>0.97242647058823495</v>
      </c>
    </row>
    <row r="1563" spans="9:10" x14ac:dyDescent="0.3">
      <c r="I1563" s="72">
        <v>780.5</v>
      </c>
      <c r="J1563" s="70">
        <v>0.97242647058823495</v>
      </c>
    </row>
    <row r="1564" spans="9:10" x14ac:dyDescent="0.3">
      <c r="I1564" s="72">
        <v>781</v>
      </c>
      <c r="J1564" s="70">
        <v>0.97242647058823495</v>
      </c>
    </row>
    <row r="1565" spans="9:10" x14ac:dyDescent="0.3">
      <c r="I1565" s="72">
        <v>781.5</v>
      </c>
      <c r="J1565" s="70">
        <v>0.97242647058823495</v>
      </c>
    </row>
    <row r="1566" spans="9:10" x14ac:dyDescent="0.3">
      <c r="I1566" s="72">
        <v>782</v>
      </c>
      <c r="J1566" s="70">
        <v>0.97242647058823495</v>
      </c>
    </row>
    <row r="1567" spans="9:10" x14ac:dyDescent="0.3">
      <c r="I1567" s="72">
        <v>782.5</v>
      </c>
      <c r="J1567" s="70">
        <v>0.97242647058823495</v>
      </c>
    </row>
    <row r="1568" spans="9:10" x14ac:dyDescent="0.3">
      <c r="I1568" s="72">
        <v>783</v>
      </c>
      <c r="J1568" s="70">
        <v>0.97242647058823495</v>
      </c>
    </row>
    <row r="1569" spans="9:10" x14ac:dyDescent="0.3">
      <c r="I1569" s="72">
        <v>783.5</v>
      </c>
      <c r="J1569" s="70">
        <v>0.97242647058823495</v>
      </c>
    </row>
    <row r="1570" spans="9:10" x14ac:dyDescent="0.3">
      <c r="I1570" s="72">
        <v>784</v>
      </c>
      <c r="J1570" s="70">
        <v>0.97242647058823495</v>
      </c>
    </row>
    <row r="1571" spans="9:10" x14ac:dyDescent="0.3">
      <c r="I1571" s="72">
        <v>784.5</v>
      </c>
      <c r="J1571" s="70">
        <v>0.97242647058823495</v>
      </c>
    </row>
    <row r="1572" spans="9:10" x14ac:dyDescent="0.3">
      <c r="I1572" s="72">
        <v>785</v>
      </c>
      <c r="J1572" s="70">
        <v>0.97242647058823495</v>
      </c>
    </row>
    <row r="1573" spans="9:10" x14ac:dyDescent="0.3">
      <c r="I1573" s="72">
        <v>785.5</v>
      </c>
      <c r="J1573" s="70">
        <v>0.97242647058823495</v>
      </c>
    </row>
    <row r="1574" spans="9:10" x14ac:dyDescent="0.3">
      <c r="I1574" s="72">
        <v>786</v>
      </c>
      <c r="J1574" s="70">
        <v>0.97242647058823495</v>
      </c>
    </row>
    <row r="1575" spans="9:10" x14ac:dyDescent="0.3">
      <c r="I1575" s="72">
        <v>786.5</v>
      </c>
      <c r="J1575" s="70">
        <v>0.97242647058823495</v>
      </c>
    </row>
    <row r="1576" spans="9:10" x14ac:dyDescent="0.3">
      <c r="I1576" s="72">
        <v>787</v>
      </c>
      <c r="J1576" s="70">
        <v>0.97242647058823495</v>
      </c>
    </row>
    <row r="1577" spans="9:10" x14ac:dyDescent="0.3">
      <c r="I1577" s="72">
        <v>787.5</v>
      </c>
      <c r="J1577" s="70">
        <v>0.97242647058823495</v>
      </c>
    </row>
    <row r="1578" spans="9:10" x14ac:dyDescent="0.3">
      <c r="I1578" s="72">
        <v>788</v>
      </c>
      <c r="J1578" s="70">
        <v>0.97242647058823495</v>
      </c>
    </row>
    <row r="1579" spans="9:10" x14ac:dyDescent="0.3">
      <c r="I1579" s="72">
        <v>788.5</v>
      </c>
      <c r="J1579" s="70">
        <v>0.97242647058823495</v>
      </c>
    </row>
    <row r="1580" spans="9:10" x14ac:dyDescent="0.3">
      <c r="I1580" s="72">
        <v>789</v>
      </c>
      <c r="J1580" s="70">
        <v>0.97242647058823495</v>
      </c>
    </row>
    <row r="1581" spans="9:10" x14ac:dyDescent="0.3">
      <c r="I1581" s="72">
        <v>789.5</v>
      </c>
      <c r="J1581" s="70">
        <v>0.97242647058823495</v>
      </c>
    </row>
    <row r="1582" spans="9:10" x14ac:dyDescent="0.3">
      <c r="I1582" s="72">
        <v>790</v>
      </c>
      <c r="J1582" s="70">
        <v>0.97242647058823495</v>
      </c>
    </row>
    <row r="1583" spans="9:10" x14ac:dyDescent="0.3">
      <c r="I1583" s="72">
        <v>790.5</v>
      </c>
      <c r="J1583" s="70">
        <v>0.97242647058823495</v>
      </c>
    </row>
    <row r="1584" spans="9:10" x14ac:dyDescent="0.3">
      <c r="I1584" s="72">
        <v>791</v>
      </c>
      <c r="J1584" s="70">
        <v>0.97242647058823495</v>
      </c>
    </row>
    <row r="1585" spans="9:10" x14ac:dyDescent="0.3">
      <c r="I1585" s="72">
        <v>791.5</v>
      </c>
      <c r="J1585" s="70">
        <v>0.97242647058823495</v>
      </c>
    </row>
    <row r="1586" spans="9:10" x14ac:dyDescent="0.3">
      <c r="I1586" s="72">
        <v>792</v>
      </c>
      <c r="J1586" s="70">
        <v>0.97242647058823495</v>
      </c>
    </row>
    <row r="1587" spans="9:10" x14ac:dyDescent="0.3">
      <c r="I1587" s="72">
        <v>792.5</v>
      </c>
      <c r="J1587" s="70">
        <v>0.97242647058823495</v>
      </c>
    </row>
    <row r="1588" spans="9:10" x14ac:dyDescent="0.3">
      <c r="I1588" s="72">
        <v>793</v>
      </c>
      <c r="J1588" s="70">
        <v>0.97242647058823495</v>
      </c>
    </row>
    <row r="1589" spans="9:10" x14ac:dyDescent="0.3">
      <c r="I1589" s="72">
        <v>793.5</v>
      </c>
      <c r="J1589" s="70">
        <v>0.97242647058823495</v>
      </c>
    </row>
    <row r="1590" spans="9:10" x14ac:dyDescent="0.3">
      <c r="I1590" s="72">
        <v>794</v>
      </c>
      <c r="J1590" s="70">
        <v>0.97242647058823495</v>
      </c>
    </row>
    <row r="1591" spans="9:10" x14ac:dyDescent="0.3">
      <c r="I1591" s="72">
        <v>794.5</v>
      </c>
      <c r="J1591" s="70">
        <v>0.97242647058823495</v>
      </c>
    </row>
    <row r="1592" spans="9:10" x14ac:dyDescent="0.3">
      <c r="I1592" s="72">
        <v>795</v>
      </c>
      <c r="J1592" s="70">
        <v>0.97242647058823495</v>
      </c>
    </row>
    <row r="1593" spans="9:10" x14ac:dyDescent="0.3">
      <c r="I1593" s="72">
        <v>795.5</v>
      </c>
      <c r="J1593" s="70">
        <v>0.97242647058823495</v>
      </c>
    </row>
    <row r="1594" spans="9:10" x14ac:dyDescent="0.3">
      <c r="I1594" s="72">
        <v>796</v>
      </c>
      <c r="J1594" s="70">
        <v>0.97242647058823495</v>
      </c>
    </row>
    <row r="1595" spans="9:10" x14ac:dyDescent="0.3">
      <c r="I1595" s="72">
        <v>796.5</v>
      </c>
      <c r="J1595" s="70">
        <v>0.97242647058823495</v>
      </c>
    </row>
    <row r="1596" spans="9:10" x14ac:dyDescent="0.3">
      <c r="I1596" s="72">
        <v>797</v>
      </c>
      <c r="J1596" s="70">
        <v>0.97242647058823495</v>
      </c>
    </row>
    <row r="1597" spans="9:10" x14ac:dyDescent="0.3">
      <c r="I1597" s="72">
        <v>797.5</v>
      </c>
      <c r="J1597" s="70">
        <v>0.97242647058823495</v>
      </c>
    </row>
    <row r="1598" spans="9:10" x14ac:dyDescent="0.3">
      <c r="I1598" s="72">
        <v>798</v>
      </c>
      <c r="J1598" s="70">
        <v>0.97242647058823495</v>
      </c>
    </row>
    <row r="1599" spans="9:10" x14ac:dyDescent="0.3">
      <c r="I1599" s="72">
        <v>798.5</v>
      </c>
      <c r="J1599" s="70">
        <v>0.97242647058823495</v>
      </c>
    </row>
    <row r="1600" spans="9:10" x14ac:dyDescent="0.3">
      <c r="I1600" s="72">
        <v>799</v>
      </c>
      <c r="J1600" s="70">
        <v>0.97242647058823495</v>
      </c>
    </row>
    <row r="1601" spans="9:10" x14ac:dyDescent="0.3">
      <c r="I1601" s="72">
        <v>799.5</v>
      </c>
      <c r="J1601" s="70">
        <v>0.97242647058823495</v>
      </c>
    </row>
    <row r="1602" spans="9:10" x14ac:dyDescent="0.3">
      <c r="I1602" s="72">
        <v>800</v>
      </c>
      <c r="J1602" s="70">
        <v>0.97242647058823495</v>
      </c>
    </row>
    <row r="1603" spans="9:10" x14ac:dyDescent="0.3">
      <c r="I1603" s="72">
        <v>800.5</v>
      </c>
      <c r="J1603" s="70">
        <v>0.97242647058823495</v>
      </c>
    </row>
    <row r="1604" spans="9:10" x14ac:dyDescent="0.3">
      <c r="I1604" s="72">
        <v>801</v>
      </c>
      <c r="J1604" s="70">
        <v>0.97242647058823495</v>
      </c>
    </row>
    <row r="1605" spans="9:10" x14ac:dyDescent="0.3">
      <c r="I1605" s="72">
        <v>801.5</v>
      </c>
      <c r="J1605" s="70">
        <v>0.97242647058823495</v>
      </c>
    </row>
    <row r="1606" spans="9:10" x14ac:dyDescent="0.3">
      <c r="I1606" s="72">
        <v>802</v>
      </c>
      <c r="J1606" s="70">
        <v>0.9742647058823527</v>
      </c>
    </row>
    <row r="1607" spans="9:10" x14ac:dyDescent="0.3">
      <c r="I1607" s="72">
        <v>802.5</v>
      </c>
      <c r="J1607" s="70">
        <v>0.9742647058823527</v>
      </c>
    </row>
    <row r="1608" spans="9:10" x14ac:dyDescent="0.3">
      <c r="I1608" s="72">
        <v>803</v>
      </c>
      <c r="J1608" s="70">
        <v>0.9742647058823527</v>
      </c>
    </row>
    <row r="1609" spans="9:10" x14ac:dyDescent="0.3">
      <c r="I1609" s="72">
        <v>803.5</v>
      </c>
      <c r="J1609" s="70">
        <v>0.9742647058823527</v>
      </c>
    </row>
    <row r="1610" spans="9:10" x14ac:dyDescent="0.3">
      <c r="I1610" s="72">
        <v>804</v>
      </c>
      <c r="J1610" s="70">
        <v>0.9742647058823527</v>
      </c>
    </row>
    <row r="1611" spans="9:10" x14ac:dyDescent="0.3">
      <c r="I1611" s="72">
        <v>804.5</v>
      </c>
      <c r="J1611" s="70">
        <v>0.9742647058823527</v>
      </c>
    </row>
    <row r="1612" spans="9:10" x14ac:dyDescent="0.3">
      <c r="I1612" s="72">
        <v>805</v>
      </c>
      <c r="J1612" s="70">
        <v>0.9742647058823527</v>
      </c>
    </row>
    <row r="1613" spans="9:10" x14ac:dyDescent="0.3">
      <c r="I1613" s="72">
        <v>805.5</v>
      </c>
      <c r="J1613" s="70">
        <v>0.9742647058823527</v>
      </c>
    </row>
    <row r="1614" spans="9:10" x14ac:dyDescent="0.3">
      <c r="I1614" s="72">
        <v>806</v>
      </c>
      <c r="J1614" s="70">
        <v>0.9742647058823527</v>
      </c>
    </row>
    <row r="1615" spans="9:10" x14ac:dyDescent="0.3">
      <c r="I1615" s="72">
        <v>806.5</v>
      </c>
      <c r="J1615" s="70">
        <v>0.9742647058823527</v>
      </c>
    </row>
    <row r="1616" spans="9:10" x14ac:dyDescent="0.3">
      <c r="I1616" s="72">
        <v>807</v>
      </c>
      <c r="J1616" s="70">
        <v>0.9742647058823527</v>
      </c>
    </row>
    <row r="1617" spans="9:10" x14ac:dyDescent="0.3">
      <c r="I1617" s="72">
        <v>807.5</v>
      </c>
      <c r="J1617" s="70">
        <v>0.9742647058823527</v>
      </c>
    </row>
    <row r="1618" spans="9:10" x14ac:dyDescent="0.3">
      <c r="I1618" s="72">
        <v>808</v>
      </c>
      <c r="J1618" s="70">
        <v>0.9742647058823527</v>
      </c>
    </row>
    <row r="1619" spans="9:10" x14ac:dyDescent="0.3">
      <c r="I1619" s="72">
        <v>808.5</v>
      </c>
      <c r="J1619" s="70">
        <v>0.9742647058823527</v>
      </c>
    </row>
    <row r="1620" spans="9:10" x14ac:dyDescent="0.3">
      <c r="I1620" s="72">
        <v>809</v>
      </c>
      <c r="J1620" s="70">
        <v>0.9742647058823527</v>
      </c>
    </row>
    <row r="1621" spans="9:10" x14ac:dyDescent="0.3">
      <c r="I1621" s="72">
        <v>809.5</v>
      </c>
      <c r="J1621" s="70">
        <v>0.9742647058823527</v>
      </c>
    </row>
    <row r="1622" spans="9:10" x14ac:dyDescent="0.3">
      <c r="I1622" s="72">
        <v>810</v>
      </c>
      <c r="J1622" s="70">
        <v>0.9742647058823527</v>
      </c>
    </row>
    <row r="1623" spans="9:10" x14ac:dyDescent="0.3">
      <c r="I1623" s="72">
        <v>810.5</v>
      </c>
      <c r="J1623" s="70">
        <v>0.9742647058823527</v>
      </c>
    </row>
    <row r="1624" spans="9:10" x14ac:dyDescent="0.3">
      <c r="I1624" s="72">
        <v>811</v>
      </c>
      <c r="J1624" s="70">
        <v>0.9742647058823527</v>
      </c>
    </row>
    <row r="1625" spans="9:10" x14ac:dyDescent="0.3">
      <c r="I1625" s="72">
        <v>811.5</v>
      </c>
      <c r="J1625" s="70">
        <v>0.9742647058823527</v>
      </c>
    </row>
    <row r="1626" spans="9:10" x14ac:dyDescent="0.3">
      <c r="I1626" s="72">
        <v>812</v>
      </c>
      <c r="J1626" s="70">
        <v>0.9742647058823527</v>
      </c>
    </row>
    <row r="1627" spans="9:10" x14ac:dyDescent="0.3">
      <c r="I1627" s="72">
        <v>812.5</v>
      </c>
      <c r="J1627" s="70">
        <v>0.9742647058823527</v>
      </c>
    </row>
    <row r="1628" spans="9:10" x14ac:dyDescent="0.3">
      <c r="I1628" s="72">
        <v>813</v>
      </c>
      <c r="J1628" s="70">
        <v>0.9742647058823527</v>
      </c>
    </row>
    <row r="1629" spans="9:10" x14ac:dyDescent="0.3">
      <c r="I1629" s="72">
        <v>813.5</v>
      </c>
      <c r="J1629" s="70">
        <v>0.9742647058823527</v>
      </c>
    </row>
    <row r="1630" spans="9:10" x14ac:dyDescent="0.3">
      <c r="I1630" s="72">
        <v>814</v>
      </c>
      <c r="J1630" s="70">
        <v>0.9742647058823527</v>
      </c>
    </row>
    <row r="1631" spans="9:10" x14ac:dyDescent="0.3">
      <c r="I1631" s="72">
        <v>814.5</v>
      </c>
      <c r="J1631" s="70">
        <v>0.9742647058823527</v>
      </c>
    </row>
    <row r="1632" spans="9:10" x14ac:dyDescent="0.3">
      <c r="I1632" s="72">
        <v>815</v>
      </c>
      <c r="J1632" s="70">
        <v>0.9742647058823527</v>
      </c>
    </row>
    <row r="1633" spans="9:10" x14ac:dyDescent="0.3">
      <c r="I1633" s="72">
        <v>815.5</v>
      </c>
      <c r="J1633" s="70">
        <v>0.9742647058823527</v>
      </c>
    </row>
    <row r="1634" spans="9:10" x14ac:dyDescent="0.3">
      <c r="I1634" s="72">
        <v>816</v>
      </c>
      <c r="J1634" s="70">
        <v>0.9742647058823527</v>
      </c>
    </row>
    <row r="1635" spans="9:10" x14ac:dyDescent="0.3">
      <c r="I1635" s="72">
        <v>816.5</v>
      </c>
      <c r="J1635" s="70">
        <v>0.9742647058823527</v>
      </c>
    </row>
    <row r="1636" spans="9:10" x14ac:dyDescent="0.3">
      <c r="I1636" s="72">
        <v>817</v>
      </c>
      <c r="J1636" s="70">
        <v>0.9742647058823527</v>
      </c>
    </row>
    <row r="1637" spans="9:10" x14ac:dyDescent="0.3">
      <c r="I1637" s="72">
        <v>817.5</v>
      </c>
      <c r="J1637" s="70">
        <v>0.9742647058823527</v>
      </c>
    </row>
    <row r="1638" spans="9:10" x14ac:dyDescent="0.3">
      <c r="I1638" s="72">
        <v>818</v>
      </c>
      <c r="J1638" s="70">
        <v>0.9742647058823527</v>
      </c>
    </row>
    <row r="1639" spans="9:10" x14ac:dyDescent="0.3">
      <c r="I1639" s="72">
        <v>818.5</v>
      </c>
      <c r="J1639" s="70">
        <v>0.9742647058823527</v>
      </c>
    </row>
    <row r="1640" spans="9:10" x14ac:dyDescent="0.3">
      <c r="I1640" s="72">
        <v>819</v>
      </c>
      <c r="J1640" s="70">
        <v>0.9742647058823527</v>
      </c>
    </row>
    <row r="1641" spans="9:10" x14ac:dyDescent="0.3">
      <c r="I1641" s="72">
        <v>819.5</v>
      </c>
      <c r="J1641" s="70">
        <v>0.9742647058823527</v>
      </c>
    </row>
    <row r="1642" spans="9:10" x14ac:dyDescent="0.3">
      <c r="I1642" s="72">
        <v>820</v>
      </c>
      <c r="J1642" s="70">
        <v>0.9742647058823527</v>
      </c>
    </row>
    <row r="1643" spans="9:10" x14ac:dyDescent="0.3">
      <c r="I1643" s="72">
        <v>820.5</v>
      </c>
      <c r="J1643" s="70">
        <v>0.9742647058823527</v>
      </c>
    </row>
    <row r="1644" spans="9:10" x14ac:dyDescent="0.3">
      <c r="I1644" s="72">
        <v>821</v>
      </c>
      <c r="J1644" s="70">
        <v>0.9742647058823527</v>
      </c>
    </row>
    <row r="1645" spans="9:10" x14ac:dyDescent="0.3">
      <c r="I1645" s="72">
        <v>821.5</v>
      </c>
      <c r="J1645" s="70">
        <v>0.9742647058823527</v>
      </c>
    </row>
    <row r="1646" spans="9:10" x14ac:dyDescent="0.3">
      <c r="I1646" s="72">
        <v>822</v>
      </c>
      <c r="J1646" s="70">
        <v>0.9742647058823527</v>
      </c>
    </row>
    <row r="1647" spans="9:10" x14ac:dyDescent="0.3">
      <c r="I1647" s="72">
        <v>822.5</v>
      </c>
      <c r="J1647" s="70">
        <v>0.9742647058823527</v>
      </c>
    </row>
    <row r="1648" spans="9:10" x14ac:dyDescent="0.3">
      <c r="I1648" s="72">
        <v>823</v>
      </c>
      <c r="J1648" s="70">
        <v>0.9742647058823527</v>
      </c>
    </row>
    <row r="1649" spans="9:10" x14ac:dyDescent="0.3">
      <c r="I1649" s="72">
        <v>823.5</v>
      </c>
      <c r="J1649" s="70">
        <v>0.9742647058823527</v>
      </c>
    </row>
    <row r="1650" spans="9:10" x14ac:dyDescent="0.3">
      <c r="I1650" s="72">
        <v>824</v>
      </c>
      <c r="J1650" s="70">
        <v>0.9742647058823527</v>
      </c>
    </row>
    <row r="1651" spans="9:10" x14ac:dyDescent="0.3">
      <c r="I1651" s="72">
        <v>824.5</v>
      </c>
      <c r="J1651" s="70">
        <v>0.9742647058823527</v>
      </c>
    </row>
    <row r="1652" spans="9:10" x14ac:dyDescent="0.3">
      <c r="I1652" s="72">
        <v>825</v>
      </c>
      <c r="J1652" s="70">
        <v>0.9742647058823527</v>
      </c>
    </row>
    <row r="1653" spans="9:10" x14ac:dyDescent="0.3">
      <c r="I1653" s="72">
        <v>825.5</v>
      </c>
      <c r="J1653" s="70">
        <v>0.9742647058823527</v>
      </c>
    </row>
    <row r="1654" spans="9:10" x14ac:dyDescent="0.3">
      <c r="I1654" s="72">
        <v>826</v>
      </c>
      <c r="J1654" s="70">
        <v>0.9742647058823527</v>
      </c>
    </row>
    <row r="1655" spans="9:10" x14ac:dyDescent="0.3">
      <c r="I1655" s="72">
        <v>826.5</v>
      </c>
      <c r="J1655" s="70">
        <v>0.9742647058823527</v>
      </c>
    </row>
    <row r="1656" spans="9:10" x14ac:dyDescent="0.3">
      <c r="I1656" s="72">
        <v>827</v>
      </c>
      <c r="J1656" s="70">
        <v>0.9742647058823527</v>
      </c>
    </row>
    <row r="1657" spans="9:10" x14ac:dyDescent="0.3">
      <c r="I1657" s="72">
        <v>827.5</v>
      </c>
      <c r="J1657" s="70">
        <v>0.9742647058823527</v>
      </c>
    </row>
    <row r="1658" spans="9:10" x14ac:dyDescent="0.3">
      <c r="I1658" s="72">
        <v>828</v>
      </c>
      <c r="J1658" s="70">
        <v>0.9742647058823527</v>
      </c>
    </row>
    <row r="1659" spans="9:10" x14ac:dyDescent="0.3">
      <c r="I1659" s="72">
        <v>828.5</v>
      </c>
      <c r="J1659" s="70">
        <v>0.9742647058823527</v>
      </c>
    </row>
    <row r="1660" spans="9:10" x14ac:dyDescent="0.3">
      <c r="I1660" s="72">
        <v>829</v>
      </c>
      <c r="J1660" s="70">
        <v>0.9742647058823527</v>
      </c>
    </row>
    <row r="1661" spans="9:10" x14ac:dyDescent="0.3">
      <c r="I1661" s="72">
        <v>829.5</v>
      </c>
      <c r="J1661" s="70">
        <v>0.9742647058823527</v>
      </c>
    </row>
    <row r="1662" spans="9:10" x14ac:dyDescent="0.3">
      <c r="I1662" s="72">
        <v>830</v>
      </c>
      <c r="J1662" s="70">
        <v>0.9742647058823527</v>
      </c>
    </row>
    <row r="1663" spans="9:10" x14ac:dyDescent="0.3">
      <c r="I1663" s="72">
        <v>830.5</v>
      </c>
      <c r="J1663" s="70">
        <v>0.9742647058823527</v>
      </c>
    </row>
    <row r="1664" spans="9:10" x14ac:dyDescent="0.3">
      <c r="I1664" s="72">
        <v>831</v>
      </c>
      <c r="J1664" s="70">
        <v>0.9742647058823527</v>
      </c>
    </row>
    <row r="1665" spans="9:10" x14ac:dyDescent="0.3">
      <c r="I1665" s="72">
        <v>831.5</v>
      </c>
      <c r="J1665" s="70">
        <v>0.9742647058823527</v>
      </c>
    </row>
    <row r="1666" spans="9:10" x14ac:dyDescent="0.3">
      <c r="I1666" s="72">
        <v>832</v>
      </c>
      <c r="J1666" s="70">
        <v>0.9742647058823527</v>
      </c>
    </row>
    <row r="1667" spans="9:10" x14ac:dyDescent="0.3">
      <c r="I1667" s="72">
        <v>832.5</v>
      </c>
      <c r="J1667" s="70">
        <v>0.9742647058823527</v>
      </c>
    </row>
    <row r="1668" spans="9:10" x14ac:dyDescent="0.3">
      <c r="I1668" s="72">
        <v>833</v>
      </c>
      <c r="J1668" s="70">
        <v>0.9742647058823527</v>
      </c>
    </row>
    <row r="1669" spans="9:10" x14ac:dyDescent="0.3">
      <c r="I1669" s="72">
        <v>833.5</v>
      </c>
      <c r="J1669" s="70">
        <v>0.9742647058823527</v>
      </c>
    </row>
    <row r="1670" spans="9:10" x14ac:dyDescent="0.3">
      <c r="I1670" s="72">
        <v>834</v>
      </c>
      <c r="J1670" s="70">
        <v>0.9742647058823527</v>
      </c>
    </row>
    <row r="1671" spans="9:10" x14ac:dyDescent="0.3">
      <c r="I1671" s="72">
        <v>834.5</v>
      </c>
      <c r="J1671" s="70">
        <v>0.9742647058823527</v>
      </c>
    </row>
    <row r="1672" spans="9:10" x14ac:dyDescent="0.3">
      <c r="I1672" s="72">
        <v>835</v>
      </c>
      <c r="J1672" s="70">
        <v>0.9742647058823527</v>
      </c>
    </row>
    <row r="1673" spans="9:10" x14ac:dyDescent="0.3">
      <c r="I1673" s="72">
        <v>835.5</v>
      </c>
      <c r="J1673" s="70">
        <v>0.9742647058823527</v>
      </c>
    </row>
    <row r="1674" spans="9:10" x14ac:dyDescent="0.3">
      <c r="I1674" s="72">
        <v>836</v>
      </c>
      <c r="J1674" s="70">
        <v>0.9742647058823527</v>
      </c>
    </row>
    <row r="1675" spans="9:10" x14ac:dyDescent="0.3">
      <c r="I1675" s="72">
        <v>836.5</v>
      </c>
      <c r="J1675" s="70">
        <v>0.9742647058823527</v>
      </c>
    </row>
    <row r="1676" spans="9:10" x14ac:dyDescent="0.3">
      <c r="I1676" s="72">
        <v>837</v>
      </c>
      <c r="J1676" s="70">
        <v>0.9742647058823527</v>
      </c>
    </row>
    <row r="1677" spans="9:10" x14ac:dyDescent="0.3">
      <c r="I1677" s="72">
        <v>837.5</v>
      </c>
      <c r="J1677" s="70">
        <v>0.9742647058823527</v>
      </c>
    </row>
    <row r="1678" spans="9:10" x14ac:dyDescent="0.3">
      <c r="I1678" s="72">
        <v>838</v>
      </c>
      <c r="J1678" s="70">
        <v>0.9742647058823527</v>
      </c>
    </row>
    <row r="1679" spans="9:10" x14ac:dyDescent="0.3">
      <c r="I1679" s="72">
        <v>838.5</v>
      </c>
      <c r="J1679" s="70">
        <v>0.9742647058823527</v>
      </c>
    </row>
    <row r="1680" spans="9:10" x14ac:dyDescent="0.3">
      <c r="I1680" s="72">
        <v>839</v>
      </c>
      <c r="J1680" s="70">
        <v>0.9742647058823527</v>
      </c>
    </row>
    <row r="1681" spans="9:10" x14ac:dyDescent="0.3">
      <c r="I1681" s="72">
        <v>839.5</v>
      </c>
      <c r="J1681" s="70">
        <v>0.9742647058823527</v>
      </c>
    </row>
    <row r="1682" spans="9:10" x14ac:dyDescent="0.3">
      <c r="I1682" s="72">
        <v>840</v>
      </c>
      <c r="J1682" s="70">
        <v>0.9742647058823527</v>
      </c>
    </row>
    <row r="1683" spans="9:10" x14ac:dyDescent="0.3">
      <c r="I1683" s="72">
        <v>840.5</v>
      </c>
      <c r="J1683" s="70">
        <v>0.9742647058823527</v>
      </c>
    </row>
    <row r="1684" spans="9:10" x14ac:dyDescent="0.3">
      <c r="I1684" s="72">
        <v>841</v>
      </c>
      <c r="J1684" s="70">
        <v>0.9742647058823527</v>
      </c>
    </row>
    <row r="1685" spans="9:10" x14ac:dyDescent="0.3">
      <c r="I1685" s="72">
        <v>841.5</v>
      </c>
      <c r="J1685" s="70">
        <v>0.9742647058823527</v>
      </c>
    </row>
    <row r="1686" spans="9:10" x14ac:dyDescent="0.3">
      <c r="I1686" s="72">
        <v>842</v>
      </c>
      <c r="J1686" s="70">
        <v>0.9742647058823527</v>
      </c>
    </row>
    <row r="1687" spans="9:10" x14ac:dyDescent="0.3">
      <c r="I1687" s="72">
        <v>842.5</v>
      </c>
      <c r="J1687" s="70">
        <v>0.9742647058823527</v>
      </c>
    </row>
    <row r="1688" spans="9:10" x14ac:dyDescent="0.3">
      <c r="I1688" s="72">
        <v>843</v>
      </c>
      <c r="J1688" s="70">
        <v>0.9742647058823527</v>
      </c>
    </row>
    <row r="1689" spans="9:10" x14ac:dyDescent="0.3">
      <c r="I1689" s="72">
        <v>843.5</v>
      </c>
      <c r="J1689" s="70">
        <v>0.9742647058823527</v>
      </c>
    </row>
    <row r="1690" spans="9:10" x14ac:dyDescent="0.3">
      <c r="I1690" s="72">
        <v>844</v>
      </c>
      <c r="J1690" s="70">
        <v>0.9742647058823527</v>
      </c>
    </row>
    <row r="1691" spans="9:10" x14ac:dyDescent="0.3">
      <c r="I1691" s="72">
        <v>844.5</v>
      </c>
      <c r="J1691" s="70">
        <v>0.9742647058823527</v>
      </c>
    </row>
    <row r="1692" spans="9:10" x14ac:dyDescent="0.3">
      <c r="I1692" s="72">
        <v>845</v>
      </c>
      <c r="J1692" s="70">
        <v>0.9742647058823527</v>
      </c>
    </row>
    <row r="1693" spans="9:10" x14ac:dyDescent="0.3">
      <c r="I1693" s="72">
        <v>845.5</v>
      </c>
      <c r="J1693" s="70">
        <v>0.9742647058823527</v>
      </c>
    </row>
    <row r="1694" spans="9:10" x14ac:dyDescent="0.3">
      <c r="I1694" s="72">
        <v>846</v>
      </c>
      <c r="J1694" s="70">
        <v>0.9742647058823527</v>
      </c>
    </row>
    <row r="1695" spans="9:10" x14ac:dyDescent="0.3">
      <c r="I1695" s="72">
        <v>846.5</v>
      </c>
      <c r="J1695" s="70">
        <v>0.9742647058823527</v>
      </c>
    </row>
    <row r="1696" spans="9:10" x14ac:dyDescent="0.3">
      <c r="I1696" s="72">
        <v>847</v>
      </c>
      <c r="J1696" s="70">
        <v>0.9742647058823527</v>
      </c>
    </row>
    <row r="1697" spans="9:10" x14ac:dyDescent="0.3">
      <c r="I1697" s="72">
        <v>847.5</v>
      </c>
      <c r="J1697" s="70">
        <v>0.9742647058823527</v>
      </c>
    </row>
    <row r="1698" spans="9:10" x14ac:dyDescent="0.3">
      <c r="I1698" s="72">
        <v>848</v>
      </c>
      <c r="J1698" s="70">
        <v>0.9742647058823527</v>
      </c>
    </row>
    <row r="1699" spans="9:10" x14ac:dyDescent="0.3">
      <c r="I1699" s="72">
        <v>848.5</v>
      </c>
      <c r="J1699" s="70">
        <v>0.9742647058823527</v>
      </c>
    </row>
    <row r="1700" spans="9:10" x14ac:dyDescent="0.3">
      <c r="I1700" s="72">
        <v>849</v>
      </c>
      <c r="J1700" s="70">
        <v>0.9742647058823527</v>
      </c>
    </row>
    <row r="1701" spans="9:10" x14ac:dyDescent="0.3">
      <c r="I1701" s="72">
        <v>849.5</v>
      </c>
      <c r="J1701" s="70">
        <v>0.9742647058823527</v>
      </c>
    </row>
    <row r="1702" spans="9:10" x14ac:dyDescent="0.3">
      <c r="I1702" s="72">
        <v>850</v>
      </c>
      <c r="J1702" s="70">
        <v>0.9742647058823527</v>
      </c>
    </row>
    <row r="1703" spans="9:10" x14ac:dyDescent="0.3">
      <c r="I1703" s="72">
        <v>850.5</v>
      </c>
      <c r="J1703" s="70">
        <v>0.9742647058823527</v>
      </c>
    </row>
    <row r="1704" spans="9:10" x14ac:dyDescent="0.3">
      <c r="I1704" s="72">
        <v>851</v>
      </c>
      <c r="J1704" s="70">
        <v>0.9742647058823527</v>
      </c>
    </row>
    <row r="1705" spans="9:10" x14ac:dyDescent="0.3">
      <c r="I1705" s="72">
        <v>851.5</v>
      </c>
      <c r="J1705" s="70">
        <v>0.9742647058823527</v>
      </c>
    </row>
    <row r="1706" spans="9:10" x14ac:dyDescent="0.3">
      <c r="I1706" s="72">
        <v>852</v>
      </c>
      <c r="J1706" s="70">
        <v>0.97610294117647034</v>
      </c>
    </row>
    <row r="1707" spans="9:10" x14ac:dyDescent="0.3">
      <c r="I1707" s="72">
        <v>852.5</v>
      </c>
      <c r="J1707" s="70">
        <v>0.97610294117647034</v>
      </c>
    </row>
    <row r="1708" spans="9:10" x14ac:dyDescent="0.3">
      <c r="I1708" s="72">
        <v>853</v>
      </c>
      <c r="J1708" s="70">
        <v>0.97610294117647034</v>
      </c>
    </row>
    <row r="1709" spans="9:10" x14ac:dyDescent="0.3">
      <c r="I1709" s="72">
        <v>853.5</v>
      </c>
      <c r="J1709" s="70">
        <v>0.97610294117647034</v>
      </c>
    </row>
    <row r="1710" spans="9:10" x14ac:dyDescent="0.3">
      <c r="I1710" s="72">
        <v>854</v>
      </c>
      <c r="J1710" s="70">
        <v>0.97610294117647034</v>
      </c>
    </row>
    <row r="1711" spans="9:10" x14ac:dyDescent="0.3">
      <c r="I1711" s="72">
        <v>854.5</v>
      </c>
      <c r="J1711" s="70">
        <v>0.97610294117647034</v>
      </c>
    </row>
    <row r="1712" spans="9:10" x14ac:dyDescent="0.3">
      <c r="I1712" s="72">
        <v>855</v>
      </c>
      <c r="J1712" s="70">
        <v>0.97610294117647034</v>
      </c>
    </row>
    <row r="1713" spans="9:10" x14ac:dyDescent="0.3">
      <c r="I1713" s="72">
        <v>855.5</v>
      </c>
      <c r="J1713" s="70">
        <v>0.97610294117647034</v>
      </c>
    </row>
    <row r="1714" spans="9:10" x14ac:dyDescent="0.3">
      <c r="I1714" s="72">
        <v>856</v>
      </c>
      <c r="J1714" s="70">
        <v>0.97610294117647034</v>
      </c>
    </row>
    <row r="1715" spans="9:10" x14ac:dyDescent="0.3">
      <c r="I1715" s="72">
        <v>856.5</v>
      </c>
      <c r="J1715" s="70">
        <v>0.97610294117647034</v>
      </c>
    </row>
    <row r="1716" spans="9:10" x14ac:dyDescent="0.3">
      <c r="I1716" s="72">
        <v>857</v>
      </c>
      <c r="J1716" s="70">
        <v>0.97610294117647034</v>
      </c>
    </row>
    <row r="1717" spans="9:10" x14ac:dyDescent="0.3">
      <c r="I1717" s="72">
        <v>857.5</v>
      </c>
      <c r="J1717" s="70">
        <v>0.97610294117647034</v>
      </c>
    </row>
    <row r="1718" spans="9:10" x14ac:dyDescent="0.3">
      <c r="I1718" s="72">
        <v>858</v>
      </c>
      <c r="J1718" s="70">
        <v>0.97610294117647034</v>
      </c>
    </row>
    <row r="1719" spans="9:10" x14ac:dyDescent="0.3">
      <c r="I1719" s="72">
        <v>858.5</v>
      </c>
      <c r="J1719" s="70">
        <v>0.97610294117647034</v>
      </c>
    </row>
    <row r="1720" spans="9:10" x14ac:dyDescent="0.3">
      <c r="I1720" s="72">
        <v>859</v>
      </c>
      <c r="J1720" s="70">
        <v>0.97610294117647034</v>
      </c>
    </row>
    <row r="1721" spans="9:10" x14ac:dyDescent="0.3">
      <c r="I1721" s="72">
        <v>859.5</v>
      </c>
      <c r="J1721" s="70">
        <v>0.97610294117647034</v>
      </c>
    </row>
    <row r="1722" spans="9:10" x14ac:dyDescent="0.3">
      <c r="I1722" s="72">
        <v>860</v>
      </c>
      <c r="J1722" s="70">
        <v>0.97610294117647034</v>
      </c>
    </row>
    <row r="1723" spans="9:10" x14ac:dyDescent="0.3">
      <c r="I1723" s="72">
        <v>860.5</v>
      </c>
      <c r="J1723" s="70">
        <v>0.97610294117647034</v>
      </c>
    </row>
    <row r="1724" spans="9:10" x14ac:dyDescent="0.3">
      <c r="I1724" s="72">
        <v>861</v>
      </c>
      <c r="J1724" s="70">
        <v>0.97610294117647034</v>
      </c>
    </row>
    <row r="1725" spans="9:10" x14ac:dyDescent="0.3">
      <c r="I1725" s="72">
        <v>861.5</v>
      </c>
      <c r="J1725" s="70">
        <v>0.97610294117647034</v>
      </c>
    </row>
    <row r="1726" spans="9:10" x14ac:dyDescent="0.3">
      <c r="I1726" s="72">
        <v>862</v>
      </c>
      <c r="J1726" s="70">
        <v>0.97610294117647034</v>
      </c>
    </row>
    <row r="1727" spans="9:10" x14ac:dyDescent="0.3">
      <c r="I1727" s="72">
        <v>862.5</v>
      </c>
      <c r="J1727" s="70">
        <v>0.97610294117647034</v>
      </c>
    </row>
    <row r="1728" spans="9:10" x14ac:dyDescent="0.3">
      <c r="I1728" s="72">
        <v>863</v>
      </c>
      <c r="J1728" s="70">
        <v>0.97610294117647034</v>
      </c>
    </row>
    <row r="1729" spans="9:10" x14ac:dyDescent="0.3">
      <c r="I1729" s="72">
        <v>863.5</v>
      </c>
      <c r="J1729" s="70">
        <v>0.97610294117647034</v>
      </c>
    </row>
    <row r="1730" spans="9:10" x14ac:dyDescent="0.3">
      <c r="I1730" s="72">
        <v>864</v>
      </c>
      <c r="J1730" s="70">
        <v>0.97610294117647034</v>
      </c>
    </row>
    <row r="1731" spans="9:10" x14ac:dyDescent="0.3">
      <c r="I1731" s="72">
        <v>864.5</v>
      </c>
      <c r="J1731" s="70">
        <v>0.97610294117647034</v>
      </c>
    </row>
    <row r="1732" spans="9:10" x14ac:dyDescent="0.3">
      <c r="I1732" s="72">
        <v>865</v>
      </c>
      <c r="J1732" s="70">
        <v>0.97610294117647034</v>
      </c>
    </row>
    <row r="1733" spans="9:10" x14ac:dyDescent="0.3">
      <c r="I1733" s="72">
        <v>865.5</v>
      </c>
      <c r="J1733" s="70">
        <v>0.97610294117647034</v>
      </c>
    </row>
    <row r="1734" spans="9:10" x14ac:dyDescent="0.3">
      <c r="I1734" s="72">
        <v>866</v>
      </c>
      <c r="J1734" s="70">
        <v>0.97610294117647034</v>
      </c>
    </row>
    <row r="1735" spans="9:10" x14ac:dyDescent="0.3">
      <c r="I1735" s="72">
        <v>866.5</v>
      </c>
      <c r="J1735" s="70">
        <v>0.97610294117647034</v>
      </c>
    </row>
    <row r="1736" spans="9:10" x14ac:dyDescent="0.3">
      <c r="I1736" s="72">
        <v>867</v>
      </c>
      <c r="J1736" s="70">
        <v>0.97610294117647034</v>
      </c>
    </row>
    <row r="1737" spans="9:10" x14ac:dyDescent="0.3">
      <c r="I1737" s="72">
        <v>867.5</v>
      </c>
      <c r="J1737" s="70">
        <v>0.97610294117647034</v>
      </c>
    </row>
    <row r="1738" spans="9:10" x14ac:dyDescent="0.3">
      <c r="I1738" s="72">
        <v>868</v>
      </c>
      <c r="J1738" s="70">
        <v>0.97610294117647034</v>
      </c>
    </row>
    <row r="1739" spans="9:10" x14ac:dyDescent="0.3">
      <c r="I1739" s="72">
        <v>868.5</v>
      </c>
      <c r="J1739" s="70">
        <v>0.97610294117647034</v>
      </c>
    </row>
    <row r="1740" spans="9:10" x14ac:dyDescent="0.3">
      <c r="I1740" s="72">
        <v>869</v>
      </c>
      <c r="J1740" s="70">
        <v>0.97610294117647034</v>
      </c>
    </row>
    <row r="1741" spans="9:10" x14ac:dyDescent="0.3">
      <c r="I1741" s="72">
        <v>869.5</v>
      </c>
      <c r="J1741" s="70">
        <v>0.97610294117647034</v>
      </c>
    </row>
    <row r="1742" spans="9:10" x14ac:dyDescent="0.3">
      <c r="I1742" s="72">
        <v>870</v>
      </c>
      <c r="J1742" s="70">
        <v>0.97610294117647034</v>
      </c>
    </row>
    <row r="1743" spans="9:10" x14ac:dyDescent="0.3">
      <c r="I1743" s="72">
        <v>870.5</v>
      </c>
      <c r="J1743" s="70">
        <v>0.97610294117647034</v>
      </c>
    </row>
    <row r="1744" spans="9:10" x14ac:dyDescent="0.3">
      <c r="I1744" s="72">
        <v>871</v>
      </c>
      <c r="J1744" s="70">
        <v>0.97610294117647034</v>
      </c>
    </row>
    <row r="1745" spans="9:10" x14ac:dyDescent="0.3">
      <c r="I1745" s="72">
        <v>871.5</v>
      </c>
      <c r="J1745" s="70">
        <v>0.97610294117647034</v>
      </c>
    </row>
    <row r="1746" spans="9:10" x14ac:dyDescent="0.3">
      <c r="I1746" s="72">
        <v>872</v>
      </c>
      <c r="J1746" s="70">
        <v>0.97610294117647034</v>
      </c>
    </row>
    <row r="1747" spans="9:10" x14ac:dyDescent="0.3">
      <c r="I1747" s="72">
        <v>872.5</v>
      </c>
      <c r="J1747" s="70">
        <v>0.97610294117647034</v>
      </c>
    </row>
    <row r="1748" spans="9:10" x14ac:dyDescent="0.3">
      <c r="I1748" s="72">
        <v>873</v>
      </c>
      <c r="J1748" s="70">
        <v>0.97610294117647034</v>
      </c>
    </row>
    <row r="1749" spans="9:10" x14ac:dyDescent="0.3">
      <c r="I1749" s="72">
        <v>873.5</v>
      </c>
      <c r="J1749" s="70">
        <v>0.97610294117647034</v>
      </c>
    </row>
    <row r="1750" spans="9:10" x14ac:dyDescent="0.3">
      <c r="I1750" s="72">
        <v>874</v>
      </c>
      <c r="J1750" s="70">
        <v>0.97610294117647034</v>
      </c>
    </row>
    <row r="1751" spans="9:10" x14ac:dyDescent="0.3">
      <c r="I1751" s="72">
        <v>874.5</v>
      </c>
      <c r="J1751" s="70">
        <v>0.97610294117647034</v>
      </c>
    </row>
    <row r="1752" spans="9:10" x14ac:dyDescent="0.3">
      <c r="I1752" s="72">
        <v>875</v>
      </c>
      <c r="J1752" s="70">
        <v>0.97610294117647034</v>
      </c>
    </row>
    <row r="1753" spans="9:10" x14ac:dyDescent="0.3">
      <c r="I1753" s="72">
        <v>875.5</v>
      </c>
      <c r="J1753" s="70">
        <v>0.97610294117647034</v>
      </c>
    </row>
    <row r="1754" spans="9:10" x14ac:dyDescent="0.3">
      <c r="I1754" s="72">
        <v>876</v>
      </c>
      <c r="J1754" s="70">
        <v>0.97610294117647034</v>
      </c>
    </row>
    <row r="1755" spans="9:10" x14ac:dyDescent="0.3">
      <c r="I1755" s="72">
        <v>876.5</v>
      </c>
      <c r="J1755" s="70">
        <v>0.97610294117647034</v>
      </c>
    </row>
    <row r="1756" spans="9:10" x14ac:dyDescent="0.3">
      <c r="I1756" s="72">
        <v>877</v>
      </c>
      <c r="J1756" s="70">
        <v>0.97610294117647034</v>
      </c>
    </row>
    <row r="1757" spans="9:10" x14ac:dyDescent="0.3">
      <c r="I1757" s="72">
        <v>877.5</v>
      </c>
      <c r="J1757" s="70">
        <v>0.97610294117647034</v>
      </c>
    </row>
    <row r="1758" spans="9:10" x14ac:dyDescent="0.3">
      <c r="I1758" s="72">
        <v>878</v>
      </c>
      <c r="J1758" s="70">
        <v>0.97610294117647034</v>
      </c>
    </row>
    <row r="1759" spans="9:10" x14ac:dyDescent="0.3">
      <c r="I1759" s="72">
        <v>878.5</v>
      </c>
      <c r="J1759" s="70">
        <v>0.97610294117647034</v>
      </c>
    </row>
    <row r="1760" spans="9:10" x14ac:dyDescent="0.3">
      <c r="I1760" s="72">
        <v>879</v>
      </c>
      <c r="J1760" s="70">
        <v>0.97610294117647034</v>
      </c>
    </row>
    <row r="1761" spans="9:10" x14ac:dyDescent="0.3">
      <c r="I1761" s="72">
        <v>879.5</v>
      </c>
      <c r="J1761" s="70">
        <v>0.97610294117647034</v>
      </c>
    </row>
    <row r="1762" spans="9:10" x14ac:dyDescent="0.3">
      <c r="I1762" s="72">
        <v>880</v>
      </c>
      <c r="J1762" s="70">
        <v>0.97610294117647034</v>
      </c>
    </row>
    <row r="1763" spans="9:10" x14ac:dyDescent="0.3">
      <c r="I1763" s="72">
        <v>880.5</v>
      </c>
      <c r="J1763" s="70">
        <v>0.97610294117647034</v>
      </c>
    </row>
    <row r="1764" spans="9:10" x14ac:dyDescent="0.3">
      <c r="I1764" s="72">
        <v>881</v>
      </c>
      <c r="J1764" s="70">
        <v>0.97610294117647034</v>
      </c>
    </row>
    <row r="1765" spans="9:10" x14ac:dyDescent="0.3">
      <c r="I1765" s="72">
        <v>881.5</v>
      </c>
      <c r="J1765" s="70">
        <v>0.97610294117647034</v>
      </c>
    </row>
    <row r="1766" spans="9:10" x14ac:dyDescent="0.3">
      <c r="I1766" s="72">
        <v>882</v>
      </c>
      <c r="J1766" s="70">
        <v>0.97610294117647034</v>
      </c>
    </row>
    <row r="1767" spans="9:10" x14ac:dyDescent="0.3">
      <c r="I1767" s="72">
        <v>882.5</v>
      </c>
      <c r="J1767" s="70">
        <v>0.97610294117647034</v>
      </c>
    </row>
    <row r="1768" spans="9:10" x14ac:dyDescent="0.3">
      <c r="I1768" s="72">
        <v>883</v>
      </c>
      <c r="J1768" s="70">
        <v>0.97610294117647034</v>
      </c>
    </row>
    <row r="1769" spans="9:10" x14ac:dyDescent="0.3">
      <c r="I1769" s="72">
        <v>883.5</v>
      </c>
      <c r="J1769" s="70">
        <v>0.97610294117647034</v>
      </c>
    </row>
    <row r="1770" spans="9:10" x14ac:dyDescent="0.3">
      <c r="I1770" s="72">
        <v>884</v>
      </c>
      <c r="J1770" s="70">
        <v>0.97610294117647034</v>
      </c>
    </row>
    <row r="1771" spans="9:10" x14ac:dyDescent="0.3">
      <c r="I1771" s="72">
        <v>884.5</v>
      </c>
      <c r="J1771" s="70">
        <v>0.97610294117647034</v>
      </c>
    </row>
    <row r="1772" spans="9:10" x14ac:dyDescent="0.3">
      <c r="I1772" s="72">
        <v>885</v>
      </c>
      <c r="J1772" s="70">
        <v>0.97610294117647034</v>
      </c>
    </row>
    <row r="1773" spans="9:10" x14ac:dyDescent="0.3">
      <c r="I1773" s="72">
        <v>885.5</v>
      </c>
      <c r="J1773" s="70">
        <v>0.97610294117647034</v>
      </c>
    </row>
    <row r="1774" spans="9:10" x14ac:dyDescent="0.3">
      <c r="I1774" s="72">
        <v>886</v>
      </c>
      <c r="J1774" s="70">
        <v>0.97610294117647034</v>
      </c>
    </row>
    <row r="1775" spans="9:10" x14ac:dyDescent="0.3">
      <c r="I1775" s="72">
        <v>886.5</v>
      </c>
      <c r="J1775" s="70">
        <v>0.97610294117647034</v>
      </c>
    </row>
    <row r="1776" spans="9:10" x14ac:dyDescent="0.3">
      <c r="I1776" s="72">
        <v>887</v>
      </c>
      <c r="J1776" s="70">
        <v>0.97610294117647034</v>
      </c>
    </row>
    <row r="1777" spans="9:10" x14ac:dyDescent="0.3">
      <c r="I1777" s="72">
        <v>887.5</v>
      </c>
      <c r="J1777" s="70">
        <v>0.97610294117647034</v>
      </c>
    </row>
    <row r="1778" spans="9:10" x14ac:dyDescent="0.3">
      <c r="I1778" s="72">
        <v>888</v>
      </c>
      <c r="J1778" s="70">
        <v>0.97610294117647034</v>
      </c>
    </row>
    <row r="1779" spans="9:10" x14ac:dyDescent="0.3">
      <c r="I1779" s="72">
        <v>888.5</v>
      </c>
      <c r="J1779" s="70">
        <v>0.97610294117647034</v>
      </c>
    </row>
    <row r="1780" spans="9:10" x14ac:dyDescent="0.3">
      <c r="I1780" s="72">
        <v>889</v>
      </c>
      <c r="J1780" s="70">
        <v>0.97610294117647034</v>
      </c>
    </row>
    <row r="1781" spans="9:10" x14ac:dyDescent="0.3">
      <c r="I1781" s="72">
        <v>889.5</v>
      </c>
      <c r="J1781" s="70">
        <v>0.97610294117647034</v>
      </c>
    </row>
    <row r="1782" spans="9:10" x14ac:dyDescent="0.3">
      <c r="I1782" s="72">
        <v>890</v>
      </c>
      <c r="J1782" s="70">
        <v>0.97610294117647034</v>
      </c>
    </row>
    <row r="1783" spans="9:10" x14ac:dyDescent="0.3">
      <c r="I1783" s="72">
        <v>890.5</v>
      </c>
      <c r="J1783" s="70">
        <v>0.97610294117647034</v>
      </c>
    </row>
    <row r="1784" spans="9:10" x14ac:dyDescent="0.3">
      <c r="I1784" s="72">
        <v>891</v>
      </c>
      <c r="J1784" s="70">
        <v>0.97610294117647034</v>
      </c>
    </row>
    <row r="1785" spans="9:10" x14ac:dyDescent="0.3">
      <c r="I1785" s="72">
        <v>891.5</v>
      </c>
      <c r="J1785" s="70">
        <v>0.97610294117647034</v>
      </c>
    </row>
    <row r="1786" spans="9:10" x14ac:dyDescent="0.3">
      <c r="I1786" s="72">
        <v>892</v>
      </c>
      <c r="J1786" s="70">
        <v>0.97610294117647034</v>
      </c>
    </row>
    <row r="1787" spans="9:10" x14ac:dyDescent="0.3">
      <c r="I1787" s="72">
        <v>892.5</v>
      </c>
      <c r="J1787" s="70">
        <v>0.97610294117647034</v>
      </c>
    </row>
    <row r="1788" spans="9:10" x14ac:dyDescent="0.3">
      <c r="I1788" s="72">
        <v>893</v>
      </c>
      <c r="J1788" s="70">
        <v>0.97610294117647034</v>
      </c>
    </row>
    <row r="1789" spans="9:10" x14ac:dyDescent="0.3">
      <c r="I1789" s="72">
        <v>893.5</v>
      </c>
      <c r="J1789" s="70">
        <v>0.97610294117647034</v>
      </c>
    </row>
    <row r="1790" spans="9:10" x14ac:dyDescent="0.3">
      <c r="I1790" s="72">
        <v>894</v>
      </c>
      <c r="J1790" s="70">
        <v>0.97610294117647034</v>
      </c>
    </row>
    <row r="1791" spans="9:10" x14ac:dyDescent="0.3">
      <c r="I1791" s="72">
        <v>894.5</v>
      </c>
      <c r="J1791" s="70">
        <v>0.97610294117647034</v>
      </c>
    </row>
    <row r="1792" spans="9:10" x14ac:dyDescent="0.3">
      <c r="I1792" s="72">
        <v>895</v>
      </c>
      <c r="J1792" s="70">
        <v>0.97610294117647034</v>
      </c>
    </row>
    <row r="1793" spans="9:10" x14ac:dyDescent="0.3">
      <c r="I1793" s="72">
        <v>895.5</v>
      </c>
      <c r="J1793" s="70">
        <v>0.97610294117647034</v>
      </c>
    </row>
    <row r="1794" spans="9:10" x14ac:dyDescent="0.3">
      <c r="I1794" s="72">
        <v>896</v>
      </c>
      <c r="J1794" s="70">
        <v>0.97610294117647034</v>
      </c>
    </row>
    <row r="1795" spans="9:10" x14ac:dyDescent="0.3">
      <c r="I1795" s="72">
        <v>896.5</v>
      </c>
      <c r="J1795" s="70">
        <v>0.97610294117647034</v>
      </c>
    </row>
    <row r="1796" spans="9:10" x14ac:dyDescent="0.3">
      <c r="I1796" s="72">
        <v>897</v>
      </c>
      <c r="J1796" s="70">
        <v>0.97610294117647034</v>
      </c>
    </row>
    <row r="1797" spans="9:10" x14ac:dyDescent="0.3">
      <c r="I1797" s="72">
        <v>897.5</v>
      </c>
      <c r="J1797" s="70">
        <v>0.97610294117647034</v>
      </c>
    </row>
    <row r="1798" spans="9:10" x14ac:dyDescent="0.3">
      <c r="I1798" s="72">
        <v>898</v>
      </c>
      <c r="J1798" s="70">
        <v>0.97610294117647034</v>
      </c>
    </row>
    <row r="1799" spans="9:10" x14ac:dyDescent="0.3">
      <c r="I1799" s="72">
        <v>898.5</v>
      </c>
      <c r="J1799" s="70">
        <v>0.97610294117647034</v>
      </c>
    </row>
    <row r="1800" spans="9:10" x14ac:dyDescent="0.3">
      <c r="I1800" s="72">
        <v>899</v>
      </c>
      <c r="J1800" s="70">
        <v>0.97610294117647034</v>
      </c>
    </row>
    <row r="1801" spans="9:10" x14ac:dyDescent="0.3">
      <c r="I1801" s="72">
        <v>899.5</v>
      </c>
      <c r="J1801" s="70">
        <v>0.97610294117647034</v>
      </c>
    </row>
    <row r="1802" spans="9:10" x14ac:dyDescent="0.3">
      <c r="I1802" s="72">
        <v>900</v>
      </c>
      <c r="J1802" s="70">
        <v>0.97610294117647034</v>
      </c>
    </row>
    <row r="1803" spans="9:10" x14ac:dyDescent="0.3">
      <c r="I1803" s="72">
        <v>900.5</v>
      </c>
      <c r="J1803" s="70">
        <v>0.97610294117647034</v>
      </c>
    </row>
    <row r="1804" spans="9:10" x14ac:dyDescent="0.3">
      <c r="I1804" s="72">
        <v>901</v>
      </c>
      <c r="J1804" s="70">
        <v>0.97610294117647034</v>
      </c>
    </row>
    <row r="1805" spans="9:10" x14ac:dyDescent="0.3">
      <c r="I1805" s="72">
        <v>901.5</v>
      </c>
      <c r="J1805" s="70">
        <v>0.97610294117647034</v>
      </c>
    </row>
    <row r="1806" spans="9:10" x14ac:dyDescent="0.3">
      <c r="I1806" s="72">
        <v>902</v>
      </c>
      <c r="J1806" s="70">
        <v>0.97610294117647034</v>
      </c>
    </row>
    <row r="1807" spans="9:10" x14ac:dyDescent="0.3">
      <c r="I1807" s="72">
        <v>902.5</v>
      </c>
      <c r="J1807" s="70">
        <v>0.97610294117647034</v>
      </c>
    </row>
    <row r="1808" spans="9:10" x14ac:dyDescent="0.3">
      <c r="I1808" s="72">
        <v>903</v>
      </c>
      <c r="J1808" s="70">
        <v>0.97610294117647034</v>
      </c>
    </row>
    <row r="1809" spans="9:10" x14ac:dyDescent="0.3">
      <c r="I1809" s="72">
        <v>903.5</v>
      </c>
      <c r="J1809" s="70">
        <v>0.97610294117647034</v>
      </c>
    </row>
    <row r="1810" spans="9:10" x14ac:dyDescent="0.3">
      <c r="I1810" s="72">
        <v>904</v>
      </c>
      <c r="J1810" s="70">
        <v>0.97610294117647034</v>
      </c>
    </row>
    <row r="1811" spans="9:10" x14ac:dyDescent="0.3">
      <c r="I1811" s="72">
        <v>904.5</v>
      </c>
      <c r="J1811" s="70">
        <v>0.97610294117647034</v>
      </c>
    </row>
    <row r="1812" spans="9:10" x14ac:dyDescent="0.3">
      <c r="I1812" s="72">
        <v>905</v>
      </c>
      <c r="J1812" s="70">
        <v>0.97610294117647034</v>
      </c>
    </row>
    <row r="1813" spans="9:10" x14ac:dyDescent="0.3">
      <c r="I1813" s="72">
        <v>905.5</v>
      </c>
      <c r="J1813" s="70">
        <v>0.97610294117647034</v>
      </c>
    </row>
    <row r="1814" spans="9:10" x14ac:dyDescent="0.3">
      <c r="I1814" s="72">
        <v>906</v>
      </c>
      <c r="J1814" s="70">
        <v>0.97794117647058798</v>
      </c>
    </row>
    <row r="1815" spans="9:10" x14ac:dyDescent="0.3">
      <c r="I1815" s="72">
        <v>906.5</v>
      </c>
      <c r="J1815" s="70">
        <v>0.97794117647058798</v>
      </c>
    </row>
    <row r="1816" spans="9:10" x14ac:dyDescent="0.3">
      <c r="I1816" s="72">
        <v>907</v>
      </c>
      <c r="J1816" s="70">
        <v>0.97794117647058798</v>
      </c>
    </row>
    <row r="1817" spans="9:10" x14ac:dyDescent="0.3">
      <c r="I1817" s="72">
        <v>907.5</v>
      </c>
      <c r="J1817" s="70">
        <v>0.97794117647058798</v>
      </c>
    </row>
    <row r="1818" spans="9:10" x14ac:dyDescent="0.3">
      <c r="I1818" s="72">
        <v>908</v>
      </c>
      <c r="J1818" s="70">
        <v>0.97794117647058798</v>
      </c>
    </row>
    <row r="1819" spans="9:10" x14ac:dyDescent="0.3">
      <c r="I1819" s="72">
        <v>908.5</v>
      </c>
      <c r="J1819" s="70">
        <v>0.97794117647058798</v>
      </c>
    </row>
    <row r="1820" spans="9:10" x14ac:dyDescent="0.3">
      <c r="I1820" s="72">
        <v>909</v>
      </c>
      <c r="J1820" s="70">
        <v>0.97794117647058798</v>
      </c>
    </row>
    <row r="1821" spans="9:10" x14ac:dyDescent="0.3">
      <c r="I1821" s="72">
        <v>909.5</v>
      </c>
      <c r="J1821" s="70">
        <v>0.97794117647058798</v>
      </c>
    </row>
    <row r="1822" spans="9:10" x14ac:dyDescent="0.3">
      <c r="I1822" s="72">
        <v>910</v>
      </c>
      <c r="J1822" s="70">
        <v>0.97794117647058798</v>
      </c>
    </row>
    <row r="1823" spans="9:10" x14ac:dyDescent="0.3">
      <c r="I1823" s="72">
        <v>910.5</v>
      </c>
      <c r="J1823" s="70">
        <v>0.97794117647058798</v>
      </c>
    </row>
    <row r="1824" spans="9:10" x14ac:dyDescent="0.3">
      <c r="I1824" s="72">
        <v>911</v>
      </c>
      <c r="J1824" s="70">
        <v>0.97794117647058798</v>
      </c>
    </row>
    <row r="1825" spans="9:10" x14ac:dyDescent="0.3">
      <c r="I1825" s="72">
        <v>911.5</v>
      </c>
      <c r="J1825" s="70">
        <v>0.97794117647058798</v>
      </c>
    </row>
    <row r="1826" spans="9:10" x14ac:dyDescent="0.3">
      <c r="I1826" s="72">
        <v>912</v>
      </c>
      <c r="J1826" s="70">
        <v>0.97794117647058798</v>
      </c>
    </row>
    <row r="1827" spans="9:10" x14ac:dyDescent="0.3">
      <c r="I1827" s="72">
        <v>912.5</v>
      </c>
      <c r="J1827" s="70">
        <v>0.97794117647058798</v>
      </c>
    </row>
    <row r="1828" spans="9:10" x14ac:dyDescent="0.3">
      <c r="I1828" s="72">
        <v>913</v>
      </c>
      <c r="J1828" s="70">
        <v>0.97794117647058798</v>
      </c>
    </row>
    <row r="1829" spans="9:10" x14ac:dyDescent="0.3">
      <c r="I1829" s="72">
        <v>913.5</v>
      </c>
      <c r="J1829" s="70">
        <v>0.97794117647058798</v>
      </c>
    </row>
    <row r="1830" spans="9:10" x14ac:dyDescent="0.3">
      <c r="I1830" s="72">
        <v>914</v>
      </c>
      <c r="J1830" s="70">
        <v>0.97794117647058798</v>
      </c>
    </row>
    <row r="1831" spans="9:10" x14ac:dyDescent="0.3">
      <c r="I1831" s="72">
        <v>914.5</v>
      </c>
      <c r="J1831" s="70">
        <v>0.97794117647058798</v>
      </c>
    </row>
    <row r="1832" spans="9:10" x14ac:dyDescent="0.3">
      <c r="I1832" s="72">
        <v>915</v>
      </c>
      <c r="J1832" s="70">
        <v>0.97794117647058798</v>
      </c>
    </row>
    <row r="1833" spans="9:10" x14ac:dyDescent="0.3">
      <c r="I1833" s="72">
        <v>915.5</v>
      </c>
      <c r="J1833" s="70">
        <v>0.97794117647058798</v>
      </c>
    </row>
    <row r="1834" spans="9:10" x14ac:dyDescent="0.3">
      <c r="I1834" s="72">
        <v>916</v>
      </c>
      <c r="J1834" s="70">
        <v>0.97794117647058798</v>
      </c>
    </row>
    <row r="1835" spans="9:10" x14ac:dyDescent="0.3">
      <c r="I1835" s="72">
        <v>916.5</v>
      </c>
      <c r="J1835" s="70">
        <v>0.97794117647058798</v>
      </c>
    </row>
    <row r="1836" spans="9:10" x14ac:dyDescent="0.3">
      <c r="I1836" s="72">
        <v>917</v>
      </c>
      <c r="J1836" s="70">
        <v>0.97794117647058798</v>
      </c>
    </row>
    <row r="1837" spans="9:10" x14ac:dyDescent="0.3">
      <c r="I1837" s="72">
        <v>917.5</v>
      </c>
      <c r="J1837" s="70">
        <v>0.97794117647058798</v>
      </c>
    </row>
    <row r="1838" spans="9:10" x14ac:dyDescent="0.3">
      <c r="I1838" s="72">
        <v>918</v>
      </c>
      <c r="J1838" s="70">
        <v>0.97794117647058798</v>
      </c>
    </row>
    <row r="1839" spans="9:10" x14ac:dyDescent="0.3">
      <c r="I1839" s="72">
        <v>918.5</v>
      </c>
      <c r="J1839" s="70">
        <v>0.97794117647058798</v>
      </c>
    </row>
    <row r="1840" spans="9:10" x14ac:dyDescent="0.3">
      <c r="I1840" s="72">
        <v>919</v>
      </c>
      <c r="J1840" s="70">
        <v>0.97794117647058798</v>
      </c>
    </row>
    <row r="1841" spans="9:10" x14ac:dyDescent="0.3">
      <c r="I1841" s="72">
        <v>919.5</v>
      </c>
      <c r="J1841" s="70">
        <v>0.97794117647058798</v>
      </c>
    </row>
    <row r="1842" spans="9:10" x14ac:dyDescent="0.3">
      <c r="I1842" s="72">
        <v>920</v>
      </c>
      <c r="J1842" s="70">
        <v>0.97794117647058798</v>
      </c>
    </row>
    <row r="1843" spans="9:10" x14ac:dyDescent="0.3">
      <c r="I1843" s="72">
        <v>920.5</v>
      </c>
      <c r="J1843" s="70">
        <v>0.97794117647058798</v>
      </c>
    </row>
    <row r="1844" spans="9:10" x14ac:dyDescent="0.3">
      <c r="I1844" s="72">
        <v>921</v>
      </c>
      <c r="J1844" s="70">
        <v>0.97794117647058798</v>
      </c>
    </row>
    <row r="1845" spans="9:10" x14ac:dyDescent="0.3">
      <c r="I1845" s="72">
        <v>921.5</v>
      </c>
      <c r="J1845" s="70">
        <v>0.97794117647058798</v>
      </c>
    </row>
    <row r="1846" spans="9:10" x14ac:dyDescent="0.3">
      <c r="I1846" s="72">
        <v>922</v>
      </c>
      <c r="J1846" s="70">
        <v>0.97794117647058798</v>
      </c>
    </row>
    <row r="1847" spans="9:10" x14ac:dyDescent="0.3">
      <c r="I1847" s="72">
        <v>922.5</v>
      </c>
      <c r="J1847" s="70">
        <v>0.97794117647058798</v>
      </c>
    </row>
    <row r="1848" spans="9:10" x14ac:dyDescent="0.3">
      <c r="I1848" s="72">
        <v>923</v>
      </c>
      <c r="J1848" s="70">
        <v>0.97794117647058798</v>
      </c>
    </row>
    <row r="1849" spans="9:10" x14ac:dyDescent="0.3">
      <c r="I1849" s="72">
        <v>923.5</v>
      </c>
      <c r="J1849" s="70">
        <v>0.97794117647058798</v>
      </c>
    </row>
    <row r="1850" spans="9:10" x14ac:dyDescent="0.3">
      <c r="I1850" s="72">
        <v>924</v>
      </c>
      <c r="J1850" s="70">
        <v>0.97794117647058798</v>
      </c>
    </row>
    <row r="1851" spans="9:10" x14ac:dyDescent="0.3">
      <c r="I1851" s="72">
        <v>924.5</v>
      </c>
      <c r="J1851" s="70">
        <v>0.97794117647058798</v>
      </c>
    </row>
    <row r="1852" spans="9:10" x14ac:dyDescent="0.3">
      <c r="I1852" s="72">
        <v>925</v>
      </c>
      <c r="J1852" s="70">
        <v>0.97794117647058798</v>
      </c>
    </row>
    <row r="1853" spans="9:10" x14ac:dyDescent="0.3">
      <c r="I1853" s="72">
        <v>925.5</v>
      </c>
      <c r="J1853" s="70">
        <v>0.97794117647058798</v>
      </c>
    </row>
    <row r="1854" spans="9:10" x14ac:dyDescent="0.3">
      <c r="I1854" s="72">
        <v>926</v>
      </c>
      <c r="J1854" s="70">
        <v>0.97794117647058798</v>
      </c>
    </row>
    <row r="1855" spans="9:10" x14ac:dyDescent="0.3">
      <c r="I1855" s="72">
        <v>926.5</v>
      </c>
      <c r="J1855" s="70">
        <v>0.97794117647058798</v>
      </c>
    </row>
    <row r="1856" spans="9:10" x14ac:dyDescent="0.3">
      <c r="I1856" s="72">
        <v>927</v>
      </c>
      <c r="J1856" s="70">
        <v>0.97794117647058798</v>
      </c>
    </row>
    <row r="1857" spans="9:10" x14ac:dyDescent="0.3">
      <c r="I1857" s="72">
        <v>927.5</v>
      </c>
      <c r="J1857" s="70">
        <v>0.97794117647058798</v>
      </c>
    </row>
    <row r="1858" spans="9:10" x14ac:dyDescent="0.3">
      <c r="I1858" s="72">
        <v>928</v>
      </c>
      <c r="J1858" s="70">
        <v>0.97794117647058798</v>
      </c>
    </row>
    <row r="1859" spans="9:10" x14ac:dyDescent="0.3">
      <c r="I1859" s="72">
        <v>928.5</v>
      </c>
      <c r="J1859" s="70">
        <v>0.97794117647058798</v>
      </c>
    </row>
    <row r="1860" spans="9:10" x14ac:dyDescent="0.3">
      <c r="I1860" s="72">
        <v>929</v>
      </c>
      <c r="J1860" s="70">
        <v>0.97794117647058798</v>
      </c>
    </row>
    <row r="1861" spans="9:10" x14ac:dyDescent="0.3">
      <c r="I1861" s="72">
        <v>929.5</v>
      </c>
      <c r="J1861" s="70">
        <v>0.97794117647058798</v>
      </c>
    </row>
    <row r="1862" spans="9:10" x14ac:dyDescent="0.3">
      <c r="I1862" s="72">
        <v>930</v>
      </c>
      <c r="J1862" s="70">
        <v>0.97794117647058798</v>
      </c>
    </row>
    <row r="1863" spans="9:10" x14ac:dyDescent="0.3">
      <c r="I1863" s="72">
        <v>930.5</v>
      </c>
      <c r="J1863" s="70">
        <v>0.97794117647058798</v>
      </c>
    </row>
    <row r="1864" spans="9:10" x14ac:dyDescent="0.3">
      <c r="I1864" s="72">
        <v>931</v>
      </c>
      <c r="J1864" s="70">
        <v>0.97794117647058798</v>
      </c>
    </row>
    <row r="1865" spans="9:10" x14ac:dyDescent="0.3">
      <c r="I1865" s="72">
        <v>931.5</v>
      </c>
      <c r="J1865" s="70">
        <v>0.97794117647058798</v>
      </c>
    </row>
    <row r="1866" spans="9:10" x14ac:dyDescent="0.3">
      <c r="I1866" s="72">
        <v>932</v>
      </c>
      <c r="J1866" s="70">
        <v>0.97794117647058798</v>
      </c>
    </row>
    <row r="1867" spans="9:10" x14ac:dyDescent="0.3">
      <c r="I1867" s="72">
        <v>932.5</v>
      </c>
      <c r="J1867" s="70">
        <v>0.97794117647058798</v>
      </c>
    </row>
    <row r="1868" spans="9:10" x14ac:dyDescent="0.3">
      <c r="I1868" s="72">
        <v>933</v>
      </c>
      <c r="J1868" s="70">
        <v>0.97794117647058798</v>
      </c>
    </row>
    <row r="1869" spans="9:10" x14ac:dyDescent="0.3">
      <c r="I1869" s="72">
        <v>933.5</v>
      </c>
      <c r="J1869" s="70">
        <v>0.97794117647058798</v>
      </c>
    </row>
    <row r="1870" spans="9:10" x14ac:dyDescent="0.3">
      <c r="I1870" s="72">
        <v>934</v>
      </c>
      <c r="J1870" s="70">
        <v>0.97794117647058798</v>
      </c>
    </row>
    <row r="1871" spans="9:10" x14ac:dyDescent="0.3">
      <c r="I1871" s="72">
        <v>934.5</v>
      </c>
      <c r="J1871" s="70">
        <v>0.97794117647058798</v>
      </c>
    </row>
    <row r="1872" spans="9:10" x14ac:dyDescent="0.3">
      <c r="I1872" s="72">
        <v>935</v>
      </c>
      <c r="J1872" s="70">
        <v>0.97794117647058798</v>
      </c>
    </row>
    <row r="1873" spans="9:10" x14ac:dyDescent="0.3">
      <c r="I1873" s="72">
        <v>935.5</v>
      </c>
      <c r="J1873" s="70">
        <v>0.97794117647058798</v>
      </c>
    </row>
    <row r="1874" spans="9:10" x14ac:dyDescent="0.3">
      <c r="I1874" s="72">
        <v>936</v>
      </c>
      <c r="J1874" s="70">
        <v>0.97794117647058798</v>
      </c>
    </row>
    <row r="1875" spans="9:10" x14ac:dyDescent="0.3">
      <c r="I1875" s="72">
        <v>936.5</v>
      </c>
      <c r="J1875" s="70">
        <v>0.97794117647058798</v>
      </c>
    </row>
    <row r="1876" spans="9:10" x14ac:dyDescent="0.3">
      <c r="I1876" s="72">
        <v>937</v>
      </c>
      <c r="J1876" s="70">
        <v>0.97794117647058798</v>
      </c>
    </row>
    <row r="1877" spans="9:10" x14ac:dyDescent="0.3">
      <c r="I1877" s="72">
        <v>937.5</v>
      </c>
      <c r="J1877" s="70">
        <v>0.97794117647058798</v>
      </c>
    </row>
    <row r="1878" spans="9:10" x14ac:dyDescent="0.3">
      <c r="I1878" s="72">
        <v>938</v>
      </c>
      <c r="J1878" s="70">
        <v>0.97794117647058798</v>
      </c>
    </row>
    <row r="1879" spans="9:10" x14ac:dyDescent="0.3">
      <c r="I1879" s="72">
        <v>938.5</v>
      </c>
      <c r="J1879" s="70">
        <v>0.97794117647058798</v>
      </c>
    </row>
    <row r="1880" spans="9:10" x14ac:dyDescent="0.3">
      <c r="I1880" s="72">
        <v>939</v>
      </c>
      <c r="J1880" s="70">
        <v>0.97794117647058798</v>
      </c>
    </row>
    <row r="1881" spans="9:10" x14ac:dyDescent="0.3">
      <c r="I1881" s="72">
        <v>939.5</v>
      </c>
      <c r="J1881" s="70">
        <v>0.97794117647058798</v>
      </c>
    </row>
    <row r="1882" spans="9:10" x14ac:dyDescent="0.3">
      <c r="I1882" s="72">
        <v>940</v>
      </c>
      <c r="J1882" s="70">
        <v>0.97794117647058798</v>
      </c>
    </row>
    <row r="1883" spans="9:10" x14ac:dyDescent="0.3">
      <c r="I1883" s="72">
        <v>940.5</v>
      </c>
      <c r="J1883" s="70">
        <v>0.97794117647058798</v>
      </c>
    </row>
    <row r="1884" spans="9:10" x14ac:dyDescent="0.3">
      <c r="I1884" s="72">
        <v>941</v>
      </c>
      <c r="J1884" s="70">
        <v>0.97794117647058798</v>
      </c>
    </row>
    <row r="1885" spans="9:10" x14ac:dyDescent="0.3">
      <c r="I1885" s="72">
        <v>941.5</v>
      </c>
      <c r="J1885" s="70">
        <v>0.97794117647058798</v>
      </c>
    </row>
    <row r="1886" spans="9:10" x14ac:dyDescent="0.3">
      <c r="I1886" s="72">
        <v>942</v>
      </c>
      <c r="J1886" s="70">
        <v>0.97794117647058798</v>
      </c>
    </row>
    <row r="1887" spans="9:10" x14ac:dyDescent="0.3">
      <c r="I1887" s="72">
        <v>942.5</v>
      </c>
      <c r="J1887" s="70">
        <v>0.97794117647058798</v>
      </c>
    </row>
    <row r="1888" spans="9:10" x14ac:dyDescent="0.3">
      <c r="I1888" s="72">
        <v>943</v>
      </c>
      <c r="J1888" s="70">
        <v>0.97794117647058798</v>
      </c>
    </row>
    <row r="1889" spans="9:10" x14ac:dyDescent="0.3">
      <c r="I1889" s="72">
        <v>943.5</v>
      </c>
      <c r="J1889" s="70">
        <v>0.97794117647058798</v>
      </c>
    </row>
    <row r="1890" spans="9:10" x14ac:dyDescent="0.3">
      <c r="I1890" s="72">
        <v>944</v>
      </c>
      <c r="J1890" s="70">
        <v>0.97794117647058798</v>
      </c>
    </row>
    <row r="1891" spans="9:10" x14ac:dyDescent="0.3">
      <c r="I1891" s="72">
        <v>944.5</v>
      </c>
      <c r="J1891" s="70">
        <v>0.97794117647058798</v>
      </c>
    </row>
    <row r="1892" spans="9:10" x14ac:dyDescent="0.3">
      <c r="I1892" s="72">
        <v>945</v>
      </c>
      <c r="J1892" s="70">
        <v>0.97794117647058798</v>
      </c>
    </row>
    <row r="1893" spans="9:10" x14ac:dyDescent="0.3">
      <c r="I1893" s="72">
        <v>945.5</v>
      </c>
      <c r="J1893" s="70">
        <v>0.97794117647058798</v>
      </c>
    </row>
    <row r="1894" spans="9:10" x14ac:dyDescent="0.3">
      <c r="I1894" s="72">
        <v>946</v>
      </c>
      <c r="J1894" s="70">
        <v>0.97794117647058798</v>
      </c>
    </row>
    <row r="1895" spans="9:10" x14ac:dyDescent="0.3">
      <c r="I1895" s="72">
        <v>946.5</v>
      </c>
      <c r="J1895" s="70">
        <v>0.97794117647058798</v>
      </c>
    </row>
    <row r="1896" spans="9:10" x14ac:dyDescent="0.3">
      <c r="I1896" s="72">
        <v>947</v>
      </c>
      <c r="J1896" s="70">
        <v>0.97794117647058798</v>
      </c>
    </row>
    <row r="1897" spans="9:10" x14ac:dyDescent="0.3">
      <c r="I1897" s="72">
        <v>947.5</v>
      </c>
      <c r="J1897" s="70">
        <v>0.97794117647058798</v>
      </c>
    </row>
    <row r="1898" spans="9:10" x14ac:dyDescent="0.3">
      <c r="I1898" s="72">
        <v>948</v>
      </c>
      <c r="J1898" s="70">
        <v>0.97794117647058798</v>
      </c>
    </row>
    <row r="1899" spans="9:10" x14ac:dyDescent="0.3">
      <c r="I1899" s="72">
        <v>948.5</v>
      </c>
      <c r="J1899" s="70">
        <v>0.97794117647058798</v>
      </c>
    </row>
    <row r="1900" spans="9:10" x14ac:dyDescent="0.3">
      <c r="I1900" s="72">
        <v>949</v>
      </c>
      <c r="J1900" s="70">
        <v>0.97794117647058798</v>
      </c>
    </row>
    <row r="1901" spans="9:10" x14ac:dyDescent="0.3">
      <c r="I1901" s="72">
        <v>949.5</v>
      </c>
      <c r="J1901" s="70">
        <v>0.97794117647058798</v>
      </c>
    </row>
    <row r="1902" spans="9:10" x14ac:dyDescent="0.3">
      <c r="I1902" s="72">
        <v>950</v>
      </c>
      <c r="J1902" s="70">
        <v>0.97794117647058798</v>
      </c>
    </row>
    <row r="1903" spans="9:10" x14ac:dyDescent="0.3">
      <c r="I1903" s="72">
        <v>950.5</v>
      </c>
      <c r="J1903" s="70">
        <v>0.97794117647058798</v>
      </c>
    </row>
    <row r="1904" spans="9:10" x14ac:dyDescent="0.3">
      <c r="I1904" s="72">
        <v>951</v>
      </c>
      <c r="J1904" s="70">
        <v>0.97794117647058798</v>
      </c>
    </row>
    <row r="1905" spans="9:10" x14ac:dyDescent="0.3">
      <c r="I1905" s="72">
        <v>951.5</v>
      </c>
      <c r="J1905" s="70">
        <v>0.97794117647058798</v>
      </c>
    </row>
    <row r="1906" spans="9:10" x14ac:dyDescent="0.3">
      <c r="I1906" s="72">
        <v>952</v>
      </c>
      <c r="J1906" s="70">
        <v>0.97794117647058798</v>
      </c>
    </row>
    <row r="1907" spans="9:10" x14ac:dyDescent="0.3">
      <c r="I1907" s="72">
        <v>952.5</v>
      </c>
      <c r="J1907" s="70">
        <v>0.97794117647058798</v>
      </c>
    </row>
    <row r="1908" spans="9:10" x14ac:dyDescent="0.3">
      <c r="I1908" s="72">
        <v>953</v>
      </c>
      <c r="J1908" s="70">
        <v>0.97794117647058798</v>
      </c>
    </row>
    <row r="1909" spans="9:10" x14ac:dyDescent="0.3">
      <c r="I1909" s="72">
        <v>953.5</v>
      </c>
      <c r="J1909" s="70">
        <v>0.97794117647058798</v>
      </c>
    </row>
    <row r="1910" spans="9:10" x14ac:dyDescent="0.3">
      <c r="I1910" s="72">
        <v>954</v>
      </c>
      <c r="J1910" s="70">
        <v>0.97794117647058798</v>
      </c>
    </row>
    <row r="1911" spans="9:10" x14ac:dyDescent="0.3">
      <c r="I1911" s="72">
        <v>954.5</v>
      </c>
      <c r="J1911" s="70">
        <v>0.97794117647058798</v>
      </c>
    </row>
    <row r="1912" spans="9:10" x14ac:dyDescent="0.3">
      <c r="I1912" s="72">
        <v>955</v>
      </c>
      <c r="J1912" s="70">
        <v>0.97794117647058798</v>
      </c>
    </row>
    <row r="1913" spans="9:10" x14ac:dyDescent="0.3">
      <c r="I1913" s="72">
        <v>955.5</v>
      </c>
      <c r="J1913" s="70">
        <v>0.97794117647058798</v>
      </c>
    </row>
    <row r="1914" spans="9:10" x14ac:dyDescent="0.3">
      <c r="I1914" s="72">
        <v>956</v>
      </c>
      <c r="J1914" s="70">
        <v>0.97794117647058798</v>
      </c>
    </row>
    <row r="1915" spans="9:10" x14ac:dyDescent="0.3">
      <c r="I1915" s="72">
        <v>956.5</v>
      </c>
      <c r="J1915" s="70">
        <v>0.97794117647058798</v>
      </c>
    </row>
    <row r="1916" spans="9:10" x14ac:dyDescent="0.3">
      <c r="I1916" s="72">
        <v>957</v>
      </c>
      <c r="J1916" s="70">
        <v>0.97794117647058798</v>
      </c>
    </row>
    <row r="1917" spans="9:10" x14ac:dyDescent="0.3">
      <c r="I1917" s="72">
        <v>957.5</v>
      </c>
      <c r="J1917" s="70">
        <v>0.97794117647058798</v>
      </c>
    </row>
    <row r="1918" spans="9:10" x14ac:dyDescent="0.3">
      <c r="I1918" s="72">
        <v>958</v>
      </c>
      <c r="J1918" s="70">
        <v>0.97794117647058798</v>
      </c>
    </row>
    <row r="1919" spans="9:10" x14ac:dyDescent="0.3">
      <c r="I1919" s="72">
        <v>958.5</v>
      </c>
      <c r="J1919" s="70">
        <v>0.97794117647058798</v>
      </c>
    </row>
    <row r="1920" spans="9:10" x14ac:dyDescent="0.3">
      <c r="I1920" s="72">
        <v>959</v>
      </c>
      <c r="J1920" s="70">
        <v>0.97794117647058798</v>
      </c>
    </row>
    <row r="1921" spans="9:10" x14ac:dyDescent="0.3">
      <c r="I1921" s="72">
        <v>959.5</v>
      </c>
      <c r="J1921" s="70">
        <v>0.97794117647058798</v>
      </c>
    </row>
    <row r="1922" spans="9:10" x14ac:dyDescent="0.3">
      <c r="I1922" s="72">
        <v>960</v>
      </c>
      <c r="J1922" s="70">
        <v>0.97794117647058798</v>
      </c>
    </row>
    <row r="1923" spans="9:10" x14ac:dyDescent="0.3">
      <c r="I1923" s="72">
        <v>960.5</v>
      </c>
      <c r="J1923" s="70">
        <v>0.97794117647058798</v>
      </c>
    </row>
    <row r="1924" spans="9:10" x14ac:dyDescent="0.3">
      <c r="I1924" s="72">
        <v>961</v>
      </c>
      <c r="J1924" s="70">
        <v>0.97794117647058798</v>
      </c>
    </row>
    <row r="1925" spans="9:10" x14ac:dyDescent="0.3">
      <c r="I1925" s="72">
        <v>961.5</v>
      </c>
      <c r="J1925" s="70">
        <v>0.97794117647058798</v>
      </c>
    </row>
    <row r="1926" spans="9:10" x14ac:dyDescent="0.3">
      <c r="I1926" s="72">
        <v>962</v>
      </c>
      <c r="J1926" s="70">
        <v>0.97794117647058798</v>
      </c>
    </row>
    <row r="1927" spans="9:10" x14ac:dyDescent="0.3">
      <c r="I1927" s="72">
        <v>962.5</v>
      </c>
      <c r="J1927" s="70">
        <v>0.97794117647058798</v>
      </c>
    </row>
    <row r="1928" spans="9:10" x14ac:dyDescent="0.3">
      <c r="I1928" s="72">
        <v>963</v>
      </c>
      <c r="J1928" s="70">
        <v>0.97794117647058798</v>
      </c>
    </row>
    <row r="1929" spans="9:10" x14ac:dyDescent="0.3">
      <c r="I1929" s="72">
        <v>963.5</v>
      </c>
      <c r="J1929" s="70">
        <v>0.97794117647058798</v>
      </c>
    </row>
    <row r="1930" spans="9:10" x14ac:dyDescent="0.3">
      <c r="I1930" s="72">
        <v>964</v>
      </c>
      <c r="J1930" s="70">
        <v>0.97977941176470562</v>
      </c>
    </row>
    <row r="1931" spans="9:10" x14ac:dyDescent="0.3">
      <c r="I1931" s="72">
        <v>964.5</v>
      </c>
      <c r="J1931" s="70">
        <v>0.97977941176470562</v>
      </c>
    </row>
    <row r="1932" spans="9:10" x14ac:dyDescent="0.3">
      <c r="I1932" s="72">
        <v>965</v>
      </c>
      <c r="J1932" s="70">
        <v>0.97977941176470562</v>
      </c>
    </row>
    <row r="1933" spans="9:10" x14ac:dyDescent="0.3">
      <c r="I1933" s="72">
        <v>965.5</v>
      </c>
      <c r="J1933" s="70">
        <v>0.97977941176470562</v>
      </c>
    </row>
    <row r="1934" spans="9:10" x14ac:dyDescent="0.3">
      <c r="I1934" s="72">
        <v>966</v>
      </c>
      <c r="J1934" s="70">
        <v>0.97977941176470562</v>
      </c>
    </row>
    <row r="1935" spans="9:10" x14ac:dyDescent="0.3">
      <c r="I1935" s="72">
        <v>966.5</v>
      </c>
      <c r="J1935" s="70">
        <v>0.97977941176470562</v>
      </c>
    </row>
    <row r="1936" spans="9:10" x14ac:dyDescent="0.3">
      <c r="I1936" s="72">
        <v>967</v>
      </c>
      <c r="J1936" s="70">
        <v>0.97977941176470562</v>
      </c>
    </row>
    <row r="1937" spans="9:10" x14ac:dyDescent="0.3">
      <c r="I1937" s="72">
        <v>967.5</v>
      </c>
      <c r="J1937" s="70">
        <v>0.97977941176470562</v>
      </c>
    </row>
    <row r="1938" spans="9:10" x14ac:dyDescent="0.3">
      <c r="I1938" s="72">
        <v>968</v>
      </c>
      <c r="J1938" s="70">
        <v>0.97977941176470562</v>
      </c>
    </row>
    <row r="1939" spans="9:10" x14ac:dyDescent="0.3">
      <c r="I1939" s="72">
        <v>968.5</v>
      </c>
      <c r="J1939" s="70">
        <v>0.97977941176470562</v>
      </c>
    </row>
    <row r="1940" spans="9:10" x14ac:dyDescent="0.3">
      <c r="I1940" s="72">
        <v>969</v>
      </c>
      <c r="J1940" s="70">
        <v>0.97977941176470562</v>
      </c>
    </row>
    <row r="1941" spans="9:10" x14ac:dyDescent="0.3">
      <c r="I1941" s="72">
        <v>969.5</v>
      </c>
      <c r="J1941" s="70">
        <v>0.97977941176470562</v>
      </c>
    </row>
    <row r="1942" spans="9:10" x14ac:dyDescent="0.3">
      <c r="I1942" s="72">
        <v>970</v>
      </c>
      <c r="J1942" s="70">
        <v>0.97977941176470562</v>
      </c>
    </row>
    <row r="1943" spans="9:10" x14ac:dyDescent="0.3">
      <c r="I1943" s="72">
        <v>970.5</v>
      </c>
      <c r="J1943" s="70">
        <v>0.97977941176470562</v>
      </c>
    </row>
    <row r="1944" spans="9:10" x14ac:dyDescent="0.3">
      <c r="I1944" s="72">
        <v>971</v>
      </c>
      <c r="J1944" s="70">
        <v>0.97977941176470562</v>
      </c>
    </row>
    <row r="1945" spans="9:10" x14ac:dyDescent="0.3">
      <c r="I1945" s="72">
        <v>971.5</v>
      </c>
      <c r="J1945" s="70">
        <v>0.97977941176470562</v>
      </c>
    </row>
    <row r="1946" spans="9:10" x14ac:dyDescent="0.3">
      <c r="I1946" s="72">
        <v>972</v>
      </c>
      <c r="J1946" s="70">
        <v>0.97977941176470562</v>
      </c>
    </row>
    <row r="1947" spans="9:10" x14ac:dyDescent="0.3">
      <c r="I1947" s="72">
        <v>972.5</v>
      </c>
      <c r="J1947" s="70">
        <v>0.97977941176470562</v>
      </c>
    </row>
    <row r="1948" spans="9:10" x14ac:dyDescent="0.3">
      <c r="I1948" s="72">
        <v>973</v>
      </c>
      <c r="J1948" s="70">
        <v>0.97977941176470562</v>
      </c>
    </row>
    <row r="1949" spans="9:10" x14ac:dyDescent="0.3">
      <c r="I1949" s="72">
        <v>973.5</v>
      </c>
      <c r="J1949" s="70">
        <v>0.97977941176470562</v>
      </c>
    </row>
    <row r="1950" spans="9:10" x14ac:dyDescent="0.3">
      <c r="I1950" s="72">
        <v>974</v>
      </c>
      <c r="J1950" s="70">
        <v>0.97977941176470562</v>
      </c>
    </row>
    <row r="1951" spans="9:10" x14ac:dyDescent="0.3">
      <c r="I1951" s="72">
        <v>974.5</v>
      </c>
      <c r="J1951" s="70">
        <v>0.97977941176470562</v>
      </c>
    </row>
    <row r="1952" spans="9:10" x14ac:dyDescent="0.3">
      <c r="I1952" s="72">
        <v>975</v>
      </c>
      <c r="J1952" s="70">
        <v>0.97977941176470562</v>
      </c>
    </row>
    <row r="1953" spans="9:10" x14ac:dyDescent="0.3">
      <c r="I1953" s="72">
        <v>975.5</v>
      </c>
      <c r="J1953" s="70">
        <v>0.97977941176470562</v>
      </c>
    </row>
    <row r="1954" spans="9:10" x14ac:dyDescent="0.3">
      <c r="I1954" s="72">
        <v>976</v>
      </c>
      <c r="J1954" s="70">
        <v>0.97977941176470562</v>
      </c>
    </row>
    <row r="1955" spans="9:10" x14ac:dyDescent="0.3">
      <c r="I1955" s="72">
        <v>976.5</v>
      </c>
      <c r="J1955" s="70">
        <v>0.97977941176470562</v>
      </c>
    </row>
    <row r="1956" spans="9:10" x14ac:dyDescent="0.3">
      <c r="I1956" s="72">
        <v>977</v>
      </c>
      <c r="J1956" s="70">
        <v>0.97977941176470562</v>
      </c>
    </row>
    <row r="1957" spans="9:10" x14ac:dyDescent="0.3">
      <c r="I1957" s="72">
        <v>977.5</v>
      </c>
      <c r="J1957" s="70">
        <v>0.97977941176470562</v>
      </c>
    </row>
    <row r="1958" spans="9:10" x14ac:dyDescent="0.3">
      <c r="I1958" s="72">
        <v>978</v>
      </c>
      <c r="J1958" s="70">
        <v>0.97977941176470562</v>
      </c>
    </row>
    <row r="1959" spans="9:10" x14ac:dyDescent="0.3">
      <c r="I1959" s="72">
        <v>978.5</v>
      </c>
      <c r="J1959" s="70">
        <v>0.97977941176470562</v>
      </c>
    </row>
    <row r="1960" spans="9:10" x14ac:dyDescent="0.3">
      <c r="I1960" s="72">
        <v>979</v>
      </c>
      <c r="J1960" s="70">
        <v>0.97977941176470562</v>
      </c>
    </row>
    <row r="1961" spans="9:10" x14ac:dyDescent="0.3">
      <c r="I1961" s="72">
        <v>979.5</v>
      </c>
      <c r="J1961" s="70">
        <v>0.97977941176470562</v>
      </c>
    </row>
    <row r="1962" spans="9:10" x14ac:dyDescent="0.3">
      <c r="I1962" s="72">
        <v>980</v>
      </c>
      <c r="J1962" s="70">
        <v>0.97977941176470562</v>
      </c>
    </row>
    <row r="1963" spans="9:10" x14ac:dyDescent="0.3">
      <c r="I1963" s="72">
        <v>980.5</v>
      </c>
      <c r="J1963" s="70">
        <v>0.97977941176470562</v>
      </c>
    </row>
    <row r="1964" spans="9:10" x14ac:dyDescent="0.3">
      <c r="I1964" s="72">
        <v>981</v>
      </c>
      <c r="J1964" s="70">
        <v>0.97977941176470562</v>
      </c>
    </row>
    <row r="1965" spans="9:10" x14ac:dyDescent="0.3">
      <c r="I1965" s="72">
        <v>981.5</v>
      </c>
      <c r="J1965" s="70">
        <v>0.97977941176470562</v>
      </c>
    </row>
    <row r="1966" spans="9:10" x14ac:dyDescent="0.3">
      <c r="I1966" s="72">
        <v>982</v>
      </c>
      <c r="J1966" s="70">
        <v>0.97977941176470562</v>
      </c>
    </row>
    <row r="1967" spans="9:10" x14ac:dyDescent="0.3">
      <c r="I1967" s="72">
        <v>982.5</v>
      </c>
      <c r="J1967" s="70">
        <v>0.97977941176470562</v>
      </c>
    </row>
    <row r="1968" spans="9:10" x14ac:dyDescent="0.3">
      <c r="I1968" s="72">
        <v>983</v>
      </c>
      <c r="J1968" s="70">
        <v>0.97977941176470562</v>
      </c>
    </row>
    <row r="1969" spans="9:10" x14ac:dyDescent="0.3">
      <c r="I1969" s="72">
        <v>983.5</v>
      </c>
      <c r="J1969" s="70">
        <v>0.97977941176470562</v>
      </c>
    </row>
    <row r="1970" spans="9:10" x14ac:dyDescent="0.3">
      <c r="I1970" s="72">
        <v>984</v>
      </c>
      <c r="J1970" s="70">
        <v>0.97977941176470562</v>
      </c>
    </row>
    <row r="1971" spans="9:10" x14ac:dyDescent="0.3">
      <c r="I1971" s="72">
        <v>984.5</v>
      </c>
      <c r="J1971" s="70">
        <v>0.97977941176470562</v>
      </c>
    </row>
    <row r="1972" spans="9:10" x14ac:dyDescent="0.3">
      <c r="I1972" s="72">
        <v>985</v>
      </c>
      <c r="J1972" s="70">
        <v>0.97977941176470562</v>
      </c>
    </row>
    <row r="1973" spans="9:10" x14ac:dyDescent="0.3">
      <c r="I1973" s="72">
        <v>985.5</v>
      </c>
      <c r="J1973" s="70">
        <v>0.97977941176470562</v>
      </c>
    </row>
    <row r="1974" spans="9:10" x14ac:dyDescent="0.3">
      <c r="I1974" s="72">
        <v>986</v>
      </c>
      <c r="J1974" s="70">
        <v>0.97977941176470562</v>
      </c>
    </row>
    <row r="1975" spans="9:10" x14ac:dyDescent="0.3">
      <c r="I1975" s="72">
        <v>986.5</v>
      </c>
      <c r="J1975" s="70">
        <v>0.97977941176470562</v>
      </c>
    </row>
    <row r="1976" spans="9:10" x14ac:dyDescent="0.3">
      <c r="I1976" s="72">
        <v>987</v>
      </c>
      <c r="J1976" s="70">
        <v>0.97977941176470562</v>
      </c>
    </row>
    <row r="1977" spans="9:10" x14ac:dyDescent="0.3">
      <c r="I1977" s="72">
        <v>987.5</v>
      </c>
      <c r="J1977" s="70">
        <v>0.97977941176470562</v>
      </c>
    </row>
    <row r="1978" spans="9:10" x14ac:dyDescent="0.3">
      <c r="I1978" s="72">
        <v>988</v>
      </c>
      <c r="J1978" s="70">
        <v>0.97977941176470562</v>
      </c>
    </row>
    <row r="1979" spans="9:10" x14ac:dyDescent="0.3">
      <c r="I1979" s="72">
        <v>988.5</v>
      </c>
      <c r="J1979" s="70">
        <v>0.97977941176470562</v>
      </c>
    </row>
    <row r="1980" spans="9:10" x14ac:dyDescent="0.3">
      <c r="I1980" s="72">
        <v>989</v>
      </c>
      <c r="J1980" s="70">
        <v>0.97977941176470562</v>
      </c>
    </row>
    <row r="1981" spans="9:10" x14ac:dyDescent="0.3">
      <c r="I1981" s="72">
        <v>989.5</v>
      </c>
      <c r="J1981" s="70">
        <v>0.97977941176470562</v>
      </c>
    </row>
    <row r="1982" spans="9:10" x14ac:dyDescent="0.3">
      <c r="I1982" s="72">
        <v>990</v>
      </c>
      <c r="J1982" s="70">
        <v>0.97977941176470562</v>
      </c>
    </row>
    <row r="1983" spans="9:10" x14ac:dyDescent="0.3">
      <c r="I1983" s="72">
        <v>990.5</v>
      </c>
      <c r="J1983" s="70">
        <v>0.97977941176470562</v>
      </c>
    </row>
    <row r="1984" spans="9:10" x14ac:dyDescent="0.3">
      <c r="I1984" s="72">
        <v>991</v>
      </c>
      <c r="J1984" s="70">
        <v>0.97977941176470562</v>
      </c>
    </row>
    <row r="1985" spans="9:10" x14ac:dyDescent="0.3">
      <c r="I1985" s="72">
        <v>991.5</v>
      </c>
      <c r="J1985" s="70">
        <v>0.97977941176470562</v>
      </c>
    </row>
    <row r="1986" spans="9:10" x14ac:dyDescent="0.3">
      <c r="I1986" s="72">
        <v>992</v>
      </c>
      <c r="J1986" s="70">
        <v>0.97977941176470562</v>
      </c>
    </row>
    <row r="1987" spans="9:10" x14ac:dyDescent="0.3">
      <c r="I1987" s="72">
        <v>992.5</v>
      </c>
      <c r="J1987" s="70">
        <v>0.97977941176470562</v>
      </c>
    </row>
    <row r="1988" spans="9:10" x14ac:dyDescent="0.3">
      <c r="I1988" s="72">
        <v>993</v>
      </c>
      <c r="J1988" s="70">
        <v>0.97977941176470562</v>
      </c>
    </row>
    <row r="1989" spans="9:10" x14ac:dyDescent="0.3">
      <c r="I1989" s="72">
        <v>993.5</v>
      </c>
      <c r="J1989" s="70">
        <v>0.97977941176470562</v>
      </c>
    </row>
    <row r="1990" spans="9:10" x14ac:dyDescent="0.3">
      <c r="I1990" s="72">
        <v>994</v>
      </c>
      <c r="J1990" s="70">
        <v>0.97977941176470562</v>
      </c>
    </row>
    <row r="1991" spans="9:10" x14ac:dyDescent="0.3">
      <c r="I1991" s="72">
        <v>994.5</v>
      </c>
      <c r="J1991" s="70">
        <v>0.97977941176470562</v>
      </c>
    </row>
    <row r="1992" spans="9:10" x14ac:dyDescent="0.3">
      <c r="I1992" s="72">
        <v>995</v>
      </c>
      <c r="J1992" s="70">
        <v>0.97977941176470562</v>
      </c>
    </row>
    <row r="1993" spans="9:10" x14ac:dyDescent="0.3">
      <c r="I1993" s="72">
        <v>995.5</v>
      </c>
      <c r="J1993" s="70">
        <v>0.97977941176470562</v>
      </c>
    </row>
    <row r="1994" spans="9:10" x14ac:dyDescent="0.3">
      <c r="I1994" s="72">
        <v>996</v>
      </c>
      <c r="J1994" s="70">
        <v>0.97977941176470562</v>
      </c>
    </row>
    <row r="1995" spans="9:10" x14ac:dyDescent="0.3">
      <c r="I1995" s="72">
        <v>996.5</v>
      </c>
      <c r="J1995" s="70">
        <v>0.97977941176470562</v>
      </c>
    </row>
    <row r="1996" spans="9:10" x14ac:dyDescent="0.3">
      <c r="I1996" s="72">
        <v>997</v>
      </c>
      <c r="J1996" s="70">
        <v>0.97977941176470562</v>
      </c>
    </row>
    <row r="1997" spans="9:10" x14ac:dyDescent="0.3">
      <c r="I1997" s="72">
        <v>997.5</v>
      </c>
      <c r="J1997" s="70">
        <v>0.97977941176470562</v>
      </c>
    </row>
    <row r="1998" spans="9:10" x14ac:dyDescent="0.3">
      <c r="I1998" s="72">
        <v>998</v>
      </c>
      <c r="J1998" s="70">
        <v>0.97977941176470562</v>
      </c>
    </row>
    <row r="1999" spans="9:10" x14ac:dyDescent="0.3">
      <c r="I1999" s="72">
        <v>998.5</v>
      </c>
      <c r="J1999" s="70">
        <v>0.97977941176470562</v>
      </c>
    </row>
    <row r="2000" spans="9:10" x14ac:dyDescent="0.3">
      <c r="I2000" s="72">
        <v>999</v>
      </c>
      <c r="J2000" s="70">
        <v>0.97977941176470562</v>
      </c>
    </row>
    <row r="2001" spans="9:10" x14ac:dyDescent="0.3">
      <c r="I2001" s="72">
        <v>999.5</v>
      </c>
      <c r="J2001" s="70">
        <v>0.97977941176470562</v>
      </c>
    </row>
    <row r="2002" spans="9:10" x14ac:dyDescent="0.3">
      <c r="I2002" s="72">
        <v>1000</v>
      </c>
      <c r="J2002" s="70">
        <v>0.97977941176470562</v>
      </c>
    </row>
    <row r="2003" spans="9:10" x14ac:dyDescent="0.3">
      <c r="I2003" s="72">
        <v>1000.5</v>
      </c>
      <c r="J2003" s="70">
        <v>0.97977941176470562</v>
      </c>
    </row>
    <row r="2004" spans="9:10" x14ac:dyDescent="0.3">
      <c r="I2004" s="72">
        <v>1001</v>
      </c>
      <c r="J2004" s="70">
        <v>0.97977941176470562</v>
      </c>
    </row>
    <row r="2005" spans="9:10" x14ac:dyDescent="0.3">
      <c r="I2005" s="72">
        <v>1001.5</v>
      </c>
      <c r="J2005" s="70">
        <v>0.97977941176470562</v>
      </c>
    </row>
    <row r="2006" spans="9:10" x14ac:dyDescent="0.3">
      <c r="I2006" s="72">
        <v>1002</v>
      </c>
      <c r="J2006" s="70">
        <v>0.97977941176470562</v>
      </c>
    </row>
    <row r="2007" spans="9:10" x14ac:dyDescent="0.3">
      <c r="I2007" s="72">
        <v>1002.5</v>
      </c>
      <c r="J2007" s="70">
        <v>0.97977941176470562</v>
      </c>
    </row>
    <row r="2008" spans="9:10" x14ac:dyDescent="0.3">
      <c r="I2008" s="72">
        <v>1003</v>
      </c>
      <c r="J2008" s="70">
        <v>0.97977941176470562</v>
      </c>
    </row>
    <row r="2009" spans="9:10" x14ac:dyDescent="0.3">
      <c r="I2009" s="72">
        <v>1003.5</v>
      </c>
      <c r="J2009" s="70">
        <v>0.97977941176470562</v>
      </c>
    </row>
    <row r="2010" spans="9:10" x14ac:dyDescent="0.3">
      <c r="I2010" s="72">
        <v>1004</v>
      </c>
      <c r="J2010" s="70">
        <v>0.97977941176470562</v>
      </c>
    </row>
    <row r="2011" spans="9:10" x14ac:dyDescent="0.3">
      <c r="I2011" s="72">
        <v>1004.5</v>
      </c>
      <c r="J2011" s="70">
        <v>0.97977941176470562</v>
      </c>
    </row>
    <row r="2012" spans="9:10" x14ac:dyDescent="0.3">
      <c r="I2012" s="72">
        <v>1005</v>
      </c>
      <c r="J2012" s="70">
        <v>0.97977941176470562</v>
      </c>
    </row>
    <row r="2013" spans="9:10" x14ac:dyDescent="0.3">
      <c r="I2013" s="72">
        <v>1005.5</v>
      </c>
      <c r="J2013" s="70">
        <v>0.97977941176470562</v>
      </c>
    </row>
    <row r="2014" spans="9:10" x14ac:dyDescent="0.3">
      <c r="I2014" s="72">
        <v>1006</v>
      </c>
      <c r="J2014" s="70">
        <v>0.97977941176470562</v>
      </c>
    </row>
    <row r="2015" spans="9:10" x14ac:dyDescent="0.3">
      <c r="I2015" s="72">
        <v>1006.5</v>
      </c>
      <c r="J2015" s="70">
        <v>0.97977941176470562</v>
      </c>
    </row>
    <row r="2016" spans="9:10" x14ac:dyDescent="0.3">
      <c r="I2016" s="72">
        <v>1007</v>
      </c>
      <c r="J2016" s="70">
        <v>0.97977941176470562</v>
      </c>
    </row>
    <row r="2017" spans="9:10" x14ac:dyDescent="0.3">
      <c r="I2017" s="72">
        <v>1007.5</v>
      </c>
      <c r="J2017" s="70">
        <v>0.97977941176470562</v>
      </c>
    </row>
    <row r="2018" spans="9:10" x14ac:dyDescent="0.3">
      <c r="I2018" s="72">
        <v>1008</v>
      </c>
      <c r="J2018" s="70">
        <v>0.97977941176470562</v>
      </c>
    </row>
    <row r="2019" spans="9:10" x14ac:dyDescent="0.3">
      <c r="I2019" s="72">
        <v>1008.5</v>
      </c>
      <c r="J2019" s="70">
        <v>0.97977941176470562</v>
      </c>
    </row>
    <row r="2020" spans="9:10" x14ac:dyDescent="0.3">
      <c r="I2020" s="72">
        <v>1009</v>
      </c>
      <c r="J2020" s="70">
        <v>0.97977941176470562</v>
      </c>
    </row>
    <row r="2021" spans="9:10" x14ac:dyDescent="0.3">
      <c r="I2021" s="72">
        <v>1009.5</v>
      </c>
      <c r="J2021" s="70">
        <v>0.97977941176470562</v>
      </c>
    </row>
    <row r="2022" spans="9:10" x14ac:dyDescent="0.3">
      <c r="I2022" s="72">
        <v>1010</v>
      </c>
      <c r="J2022" s="70">
        <v>0.97977941176470562</v>
      </c>
    </row>
    <row r="2023" spans="9:10" x14ac:dyDescent="0.3">
      <c r="I2023" s="72">
        <v>1010.5</v>
      </c>
      <c r="J2023" s="70">
        <v>0.97977941176470562</v>
      </c>
    </row>
    <row r="2024" spans="9:10" x14ac:dyDescent="0.3">
      <c r="I2024" s="72">
        <v>1011</v>
      </c>
      <c r="J2024" s="70">
        <v>0.97977941176470562</v>
      </c>
    </row>
    <row r="2025" spans="9:10" x14ac:dyDescent="0.3">
      <c r="I2025" s="72">
        <v>1011.5</v>
      </c>
      <c r="J2025" s="70">
        <v>0.97977941176470562</v>
      </c>
    </row>
    <row r="2026" spans="9:10" x14ac:dyDescent="0.3">
      <c r="I2026" s="72">
        <v>1012</v>
      </c>
      <c r="J2026" s="70">
        <v>0.97977941176470562</v>
      </c>
    </row>
    <row r="2027" spans="9:10" x14ac:dyDescent="0.3">
      <c r="I2027" s="72">
        <v>1012.5</v>
      </c>
      <c r="J2027" s="70">
        <v>0.97977941176470562</v>
      </c>
    </row>
    <row r="2028" spans="9:10" x14ac:dyDescent="0.3">
      <c r="I2028" s="72">
        <v>1013</v>
      </c>
      <c r="J2028" s="70">
        <v>0.97977941176470562</v>
      </c>
    </row>
    <row r="2029" spans="9:10" x14ac:dyDescent="0.3">
      <c r="I2029" s="72">
        <v>1013.5</v>
      </c>
      <c r="J2029" s="70">
        <v>0.97977941176470562</v>
      </c>
    </row>
    <row r="2030" spans="9:10" x14ac:dyDescent="0.3">
      <c r="I2030" s="72">
        <v>1014</v>
      </c>
      <c r="J2030" s="70">
        <v>0.97977941176470562</v>
      </c>
    </row>
    <row r="2031" spans="9:10" x14ac:dyDescent="0.3">
      <c r="I2031" s="72">
        <v>1014.5</v>
      </c>
      <c r="J2031" s="70">
        <v>0.97977941176470562</v>
      </c>
    </row>
    <row r="2032" spans="9:10" x14ac:dyDescent="0.3">
      <c r="I2032" s="72">
        <v>1015</v>
      </c>
      <c r="J2032" s="70">
        <v>0.97977941176470562</v>
      </c>
    </row>
    <row r="2033" spans="9:10" x14ac:dyDescent="0.3">
      <c r="I2033" s="72">
        <v>1015.5</v>
      </c>
      <c r="J2033" s="70">
        <v>0.97977941176470562</v>
      </c>
    </row>
    <row r="2034" spans="9:10" x14ac:dyDescent="0.3">
      <c r="I2034" s="72">
        <v>1016</v>
      </c>
      <c r="J2034" s="70">
        <v>0.97977941176470562</v>
      </c>
    </row>
    <row r="2035" spans="9:10" x14ac:dyDescent="0.3">
      <c r="I2035" s="72">
        <v>1016.5</v>
      </c>
      <c r="J2035" s="70">
        <v>0.97977941176470562</v>
      </c>
    </row>
    <row r="2036" spans="9:10" x14ac:dyDescent="0.3">
      <c r="I2036" s="72">
        <v>1017</v>
      </c>
      <c r="J2036" s="70">
        <v>0.97977941176470562</v>
      </c>
    </row>
    <row r="2037" spans="9:10" x14ac:dyDescent="0.3">
      <c r="I2037" s="72">
        <v>1017.5</v>
      </c>
      <c r="J2037" s="70">
        <v>0.97977941176470562</v>
      </c>
    </row>
    <row r="2038" spans="9:10" x14ac:dyDescent="0.3">
      <c r="I2038" s="72">
        <v>1018</v>
      </c>
      <c r="J2038" s="70">
        <v>0.97977941176470562</v>
      </c>
    </row>
    <row r="2039" spans="9:10" x14ac:dyDescent="0.3">
      <c r="I2039" s="72">
        <v>1018.5</v>
      </c>
      <c r="J2039" s="70">
        <v>0.97977941176470562</v>
      </c>
    </row>
    <row r="2040" spans="9:10" x14ac:dyDescent="0.3">
      <c r="I2040" s="72">
        <v>1019</v>
      </c>
      <c r="J2040" s="70">
        <v>0.97977941176470562</v>
      </c>
    </row>
    <row r="2041" spans="9:10" x14ac:dyDescent="0.3">
      <c r="I2041" s="72">
        <v>1019.5</v>
      </c>
      <c r="J2041" s="70">
        <v>0.97977941176470562</v>
      </c>
    </row>
    <row r="2042" spans="9:10" x14ac:dyDescent="0.3">
      <c r="I2042" s="72">
        <v>1020</v>
      </c>
      <c r="J2042" s="70">
        <v>0.97977941176470562</v>
      </c>
    </row>
    <row r="2043" spans="9:10" x14ac:dyDescent="0.3">
      <c r="I2043" s="72">
        <v>1020.5</v>
      </c>
      <c r="J2043" s="70">
        <v>0.97977941176470562</v>
      </c>
    </row>
    <row r="2044" spans="9:10" x14ac:dyDescent="0.3">
      <c r="I2044" s="72">
        <v>1021</v>
      </c>
      <c r="J2044" s="70">
        <v>0.97977941176470562</v>
      </c>
    </row>
    <row r="2045" spans="9:10" x14ac:dyDescent="0.3">
      <c r="I2045" s="72">
        <v>1021.5</v>
      </c>
      <c r="J2045" s="70">
        <v>0.97977941176470562</v>
      </c>
    </row>
    <row r="2046" spans="9:10" x14ac:dyDescent="0.3">
      <c r="I2046" s="72">
        <v>1022</v>
      </c>
      <c r="J2046" s="70">
        <v>0.97977941176470562</v>
      </c>
    </row>
    <row r="2047" spans="9:10" x14ac:dyDescent="0.3">
      <c r="I2047" s="72">
        <v>1022.5</v>
      </c>
      <c r="J2047" s="70">
        <v>0.97977941176470562</v>
      </c>
    </row>
    <row r="2048" spans="9:10" x14ac:dyDescent="0.3">
      <c r="I2048" s="72">
        <v>1023</v>
      </c>
      <c r="J2048" s="70">
        <v>0.97977941176470562</v>
      </c>
    </row>
    <row r="2049" spans="9:10" x14ac:dyDescent="0.3">
      <c r="I2049" s="72">
        <v>1023.5</v>
      </c>
      <c r="J2049" s="70">
        <v>0.97977941176470562</v>
      </c>
    </row>
    <row r="2050" spans="9:10" x14ac:dyDescent="0.3">
      <c r="I2050" s="72">
        <v>1024</v>
      </c>
      <c r="J2050" s="70">
        <v>0.97977941176470562</v>
      </c>
    </row>
    <row r="2051" spans="9:10" x14ac:dyDescent="0.3">
      <c r="I2051" s="72">
        <v>1024.5</v>
      </c>
      <c r="J2051" s="70">
        <v>0.97977941176470562</v>
      </c>
    </row>
    <row r="2052" spans="9:10" x14ac:dyDescent="0.3">
      <c r="I2052" s="72">
        <v>1025</v>
      </c>
      <c r="J2052" s="70">
        <v>0.97977941176470562</v>
      </c>
    </row>
    <row r="2053" spans="9:10" x14ac:dyDescent="0.3">
      <c r="I2053" s="72">
        <v>1025.5</v>
      </c>
      <c r="J2053" s="70">
        <v>0.97977941176470562</v>
      </c>
    </row>
    <row r="2054" spans="9:10" x14ac:dyDescent="0.3">
      <c r="I2054" s="72">
        <v>1026</v>
      </c>
      <c r="J2054" s="70">
        <v>0.97977941176470562</v>
      </c>
    </row>
    <row r="2055" spans="9:10" x14ac:dyDescent="0.3">
      <c r="I2055" s="72">
        <v>1026.5</v>
      </c>
      <c r="J2055" s="70">
        <v>0.97977941176470562</v>
      </c>
    </row>
    <row r="2056" spans="9:10" x14ac:dyDescent="0.3">
      <c r="I2056" s="72">
        <v>1027</v>
      </c>
      <c r="J2056" s="70">
        <v>0.98161764705882337</v>
      </c>
    </row>
    <row r="2057" spans="9:10" x14ac:dyDescent="0.3">
      <c r="I2057" s="72">
        <v>1027.5</v>
      </c>
      <c r="J2057" s="70">
        <v>0.98161764705882337</v>
      </c>
    </row>
    <row r="2058" spans="9:10" x14ac:dyDescent="0.3">
      <c r="I2058" s="72">
        <v>1028</v>
      </c>
      <c r="J2058" s="70">
        <v>0.98161764705882337</v>
      </c>
    </row>
    <row r="2059" spans="9:10" x14ac:dyDescent="0.3">
      <c r="I2059" s="72">
        <v>1028.5</v>
      </c>
      <c r="J2059" s="70">
        <v>0.98161764705882337</v>
      </c>
    </row>
    <row r="2060" spans="9:10" x14ac:dyDescent="0.3">
      <c r="I2060" s="72">
        <v>1029</v>
      </c>
      <c r="J2060" s="70">
        <v>0.98161764705882337</v>
      </c>
    </row>
    <row r="2061" spans="9:10" x14ac:dyDescent="0.3">
      <c r="I2061" s="72">
        <v>1029.5</v>
      </c>
      <c r="J2061" s="70">
        <v>0.98161764705882337</v>
      </c>
    </row>
    <row r="2062" spans="9:10" x14ac:dyDescent="0.3">
      <c r="I2062" s="72">
        <v>1030</v>
      </c>
      <c r="J2062" s="70">
        <v>0.98161764705882337</v>
      </c>
    </row>
    <row r="2063" spans="9:10" x14ac:dyDescent="0.3">
      <c r="I2063" s="72">
        <v>1030.5</v>
      </c>
      <c r="J2063" s="70">
        <v>0.98161764705882337</v>
      </c>
    </row>
    <row r="2064" spans="9:10" x14ac:dyDescent="0.3">
      <c r="I2064" s="72">
        <v>1031</v>
      </c>
      <c r="J2064" s="70">
        <v>0.98161764705882337</v>
      </c>
    </row>
    <row r="2065" spans="9:10" x14ac:dyDescent="0.3">
      <c r="I2065" s="72">
        <v>1031.5</v>
      </c>
      <c r="J2065" s="70">
        <v>0.98161764705882337</v>
      </c>
    </row>
    <row r="2066" spans="9:10" x14ac:dyDescent="0.3">
      <c r="I2066" s="72">
        <v>1032</v>
      </c>
      <c r="J2066" s="70">
        <v>0.98161764705882337</v>
      </c>
    </row>
    <row r="2067" spans="9:10" x14ac:dyDescent="0.3">
      <c r="I2067" s="72">
        <v>1032.5</v>
      </c>
      <c r="J2067" s="70">
        <v>0.98161764705882337</v>
      </c>
    </row>
    <row r="2068" spans="9:10" x14ac:dyDescent="0.3">
      <c r="I2068" s="72">
        <v>1033</v>
      </c>
      <c r="J2068" s="70">
        <v>0.98161764705882337</v>
      </c>
    </row>
    <row r="2069" spans="9:10" x14ac:dyDescent="0.3">
      <c r="I2069" s="72">
        <v>1033.5</v>
      </c>
      <c r="J2069" s="70">
        <v>0.98161764705882337</v>
      </c>
    </row>
    <row r="2070" spans="9:10" x14ac:dyDescent="0.3">
      <c r="I2070" s="72">
        <v>1034</v>
      </c>
      <c r="J2070" s="70">
        <v>0.98161764705882337</v>
      </c>
    </row>
    <row r="2071" spans="9:10" x14ac:dyDescent="0.3">
      <c r="I2071" s="72">
        <v>1034.5</v>
      </c>
      <c r="J2071" s="70">
        <v>0.98161764705882337</v>
      </c>
    </row>
    <row r="2072" spans="9:10" x14ac:dyDescent="0.3">
      <c r="I2072" s="72">
        <v>1035</v>
      </c>
      <c r="J2072" s="70">
        <v>0.98161764705882337</v>
      </c>
    </row>
    <row r="2073" spans="9:10" x14ac:dyDescent="0.3">
      <c r="I2073" s="72">
        <v>1035.5</v>
      </c>
      <c r="J2073" s="70">
        <v>0.98161764705882337</v>
      </c>
    </row>
    <row r="2074" spans="9:10" x14ac:dyDescent="0.3">
      <c r="I2074" s="72">
        <v>1036</v>
      </c>
      <c r="J2074" s="70">
        <v>0.98161764705882337</v>
      </c>
    </row>
    <row r="2075" spans="9:10" x14ac:dyDescent="0.3">
      <c r="I2075" s="72">
        <v>1036.5</v>
      </c>
      <c r="J2075" s="70">
        <v>0.98161764705882337</v>
      </c>
    </row>
    <row r="2076" spans="9:10" x14ac:dyDescent="0.3">
      <c r="I2076" s="72">
        <v>1037</v>
      </c>
      <c r="J2076" s="70">
        <v>0.98161764705882337</v>
      </c>
    </row>
    <row r="2077" spans="9:10" x14ac:dyDescent="0.3">
      <c r="I2077" s="72">
        <v>1037.5</v>
      </c>
      <c r="J2077" s="70">
        <v>0.98161764705882337</v>
      </c>
    </row>
    <row r="2078" spans="9:10" x14ac:dyDescent="0.3">
      <c r="I2078" s="72">
        <v>1038</v>
      </c>
      <c r="J2078" s="70">
        <v>0.98161764705882337</v>
      </c>
    </row>
    <row r="2079" spans="9:10" x14ac:dyDescent="0.3">
      <c r="I2079" s="72">
        <v>1038.5</v>
      </c>
      <c r="J2079" s="70">
        <v>0.98161764705882337</v>
      </c>
    </row>
    <row r="2080" spans="9:10" x14ac:dyDescent="0.3">
      <c r="I2080" s="72">
        <v>1039</v>
      </c>
      <c r="J2080" s="70">
        <v>0.98161764705882337</v>
      </c>
    </row>
    <row r="2081" spans="9:10" x14ac:dyDescent="0.3">
      <c r="I2081" s="72">
        <v>1039.5</v>
      </c>
      <c r="J2081" s="70">
        <v>0.98161764705882337</v>
      </c>
    </row>
    <row r="2082" spans="9:10" x14ac:dyDescent="0.3">
      <c r="I2082" s="72">
        <v>1040</v>
      </c>
      <c r="J2082" s="70">
        <v>0.98161764705882337</v>
      </c>
    </row>
    <row r="2083" spans="9:10" x14ac:dyDescent="0.3">
      <c r="I2083" s="72">
        <v>1040.5</v>
      </c>
      <c r="J2083" s="70">
        <v>0.98161764705882337</v>
      </c>
    </row>
    <row r="2084" spans="9:10" x14ac:dyDescent="0.3">
      <c r="I2084" s="72">
        <v>1041</v>
      </c>
      <c r="J2084" s="70">
        <v>0.98161764705882337</v>
      </c>
    </row>
    <row r="2085" spans="9:10" x14ac:dyDescent="0.3">
      <c r="I2085" s="72">
        <v>1041.5</v>
      </c>
      <c r="J2085" s="70">
        <v>0.98161764705882337</v>
      </c>
    </row>
    <row r="2086" spans="9:10" x14ac:dyDescent="0.3">
      <c r="I2086" s="72">
        <v>1042</v>
      </c>
      <c r="J2086" s="70">
        <v>0.98161764705882337</v>
      </c>
    </row>
    <row r="2087" spans="9:10" x14ac:dyDescent="0.3">
      <c r="I2087" s="72">
        <v>1042.5</v>
      </c>
      <c r="J2087" s="70">
        <v>0.98161764705882337</v>
      </c>
    </row>
    <row r="2088" spans="9:10" x14ac:dyDescent="0.3">
      <c r="I2088" s="72">
        <v>1043</v>
      </c>
      <c r="J2088" s="70">
        <v>0.98161764705882337</v>
      </c>
    </row>
    <row r="2089" spans="9:10" x14ac:dyDescent="0.3">
      <c r="I2089" s="72">
        <v>1043.5</v>
      </c>
      <c r="J2089" s="70">
        <v>0.98161764705882337</v>
      </c>
    </row>
    <row r="2090" spans="9:10" x14ac:dyDescent="0.3">
      <c r="I2090" s="72">
        <v>1044</v>
      </c>
      <c r="J2090" s="70">
        <v>0.98161764705882337</v>
      </c>
    </row>
    <row r="2091" spans="9:10" x14ac:dyDescent="0.3">
      <c r="I2091" s="72">
        <v>1044.5</v>
      </c>
      <c r="J2091" s="70">
        <v>0.98161764705882337</v>
      </c>
    </row>
    <row r="2092" spans="9:10" x14ac:dyDescent="0.3">
      <c r="I2092" s="72">
        <v>1045</v>
      </c>
      <c r="J2092" s="70">
        <v>0.98161764705882337</v>
      </c>
    </row>
    <row r="2093" spans="9:10" x14ac:dyDescent="0.3">
      <c r="I2093" s="72">
        <v>1045.5</v>
      </c>
      <c r="J2093" s="70">
        <v>0.98161764705882337</v>
      </c>
    </row>
    <row r="2094" spans="9:10" x14ac:dyDescent="0.3">
      <c r="I2094" s="72">
        <v>1046</v>
      </c>
      <c r="J2094" s="70">
        <v>0.98161764705882337</v>
      </c>
    </row>
    <row r="2095" spans="9:10" x14ac:dyDescent="0.3">
      <c r="I2095" s="72">
        <v>1046.5</v>
      </c>
      <c r="J2095" s="70">
        <v>0.98161764705882337</v>
      </c>
    </row>
    <row r="2096" spans="9:10" x14ac:dyDescent="0.3">
      <c r="I2096" s="72">
        <v>1047</v>
      </c>
      <c r="J2096" s="70">
        <v>0.98161764705882337</v>
      </c>
    </row>
    <row r="2097" spans="9:10" x14ac:dyDescent="0.3">
      <c r="I2097" s="72">
        <v>1047.5</v>
      </c>
      <c r="J2097" s="70">
        <v>0.98161764705882337</v>
      </c>
    </row>
    <row r="2098" spans="9:10" x14ac:dyDescent="0.3">
      <c r="I2098" s="72">
        <v>1048</v>
      </c>
      <c r="J2098" s="70">
        <v>0.98161764705882337</v>
      </c>
    </row>
    <row r="2099" spans="9:10" x14ac:dyDescent="0.3">
      <c r="I2099" s="72">
        <v>1048.5</v>
      </c>
      <c r="J2099" s="70">
        <v>0.98161764705882337</v>
      </c>
    </row>
    <row r="2100" spans="9:10" x14ac:dyDescent="0.3">
      <c r="I2100" s="72">
        <v>1049</v>
      </c>
      <c r="J2100" s="70">
        <v>0.98161764705882337</v>
      </c>
    </row>
    <row r="2101" spans="9:10" x14ac:dyDescent="0.3">
      <c r="I2101" s="72">
        <v>1049.5</v>
      </c>
      <c r="J2101" s="70">
        <v>0.98161764705882337</v>
      </c>
    </row>
    <row r="2102" spans="9:10" x14ac:dyDescent="0.3">
      <c r="I2102" s="72">
        <v>1050</v>
      </c>
      <c r="J2102" s="70">
        <v>0.98161764705882337</v>
      </c>
    </row>
    <row r="2103" spans="9:10" x14ac:dyDescent="0.3">
      <c r="I2103" s="72">
        <v>1050.5</v>
      </c>
      <c r="J2103" s="70">
        <v>0.98161764705882337</v>
      </c>
    </row>
    <row r="2104" spans="9:10" x14ac:dyDescent="0.3">
      <c r="I2104" s="72">
        <v>1051</v>
      </c>
      <c r="J2104" s="70">
        <v>0.98161764705882337</v>
      </c>
    </row>
    <row r="2105" spans="9:10" x14ac:dyDescent="0.3">
      <c r="I2105" s="72">
        <v>1051.5</v>
      </c>
      <c r="J2105" s="70">
        <v>0.98161764705882337</v>
      </c>
    </row>
    <row r="2106" spans="9:10" x14ac:dyDescent="0.3">
      <c r="I2106" s="72">
        <v>1052</v>
      </c>
      <c r="J2106" s="70">
        <v>0.98161764705882337</v>
      </c>
    </row>
    <row r="2107" spans="9:10" x14ac:dyDescent="0.3">
      <c r="I2107" s="72">
        <v>1052.5</v>
      </c>
      <c r="J2107" s="70">
        <v>0.98161764705882337</v>
      </c>
    </row>
    <row r="2108" spans="9:10" x14ac:dyDescent="0.3">
      <c r="I2108" s="72">
        <v>1053</v>
      </c>
      <c r="J2108" s="70">
        <v>0.98161764705882337</v>
      </c>
    </row>
    <row r="2109" spans="9:10" x14ac:dyDescent="0.3">
      <c r="I2109" s="72">
        <v>1053.5</v>
      </c>
      <c r="J2109" s="70">
        <v>0.98161764705882337</v>
      </c>
    </row>
    <row r="2110" spans="9:10" x14ac:dyDescent="0.3">
      <c r="I2110" s="72">
        <v>1054</v>
      </c>
      <c r="J2110" s="70">
        <v>0.98161764705882337</v>
      </c>
    </row>
    <row r="2111" spans="9:10" x14ac:dyDescent="0.3">
      <c r="I2111" s="72">
        <v>1054.5</v>
      </c>
      <c r="J2111" s="70">
        <v>0.98161764705882337</v>
      </c>
    </row>
    <row r="2112" spans="9:10" x14ac:dyDescent="0.3">
      <c r="I2112" s="72">
        <v>1055</v>
      </c>
      <c r="J2112" s="70">
        <v>0.98161764705882337</v>
      </c>
    </row>
    <row r="2113" spans="9:10" x14ac:dyDescent="0.3">
      <c r="I2113" s="72">
        <v>1055.5</v>
      </c>
      <c r="J2113" s="70">
        <v>0.98161764705882337</v>
      </c>
    </row>
    <row r="2114" spans="9:10" x14ac:dyDescent="0.3">
      <c r="I2114" s="72">
        <v>1056</v>
      </c>
      <c r="J2114" s="70">
        <v>0.98161764705882337</v>
      </c>
    </row>
    <row r="2115" spans="9:10" x14ac:dyDescent="0.3">
      <c r="I2115" s="72">
        <v>1056.5</v>
      </c>
      <c r="J2115" s="70">
        <v>0.98161764705882337</v>
      </c>
    </row>
    <row r="2116" spans="9:10" x14ac:dyDescent="0.3">
      <c r="I2116" s="72">
        <v>1057</v>
      </c>
      <c r="J2116" s="70">
        <v>0.98161764705882337</v>
      </c>
    </row>
    <row r="2117" spans="9:10" x14ac:dyDescent="0.3">
      <c r="I2117" s="72">
        <v>1057.5</v>
      </c>
      <c r="J2117" s="70">
        <v>0.98161764705882337</v>
      </c>
    </row>
    <row r="2118" spans="9:10" x14ac:dyDescent="0.3">
      <c r="I2118" s="72">
        <v>1058</v>
      </c>
      <c r="J2118" s="70">
        <v>0.98161764705882337</v>
      </c>
    </row>
    <row r="2119" spans="9:10" x14ac:dyDescent="0.3">
      <c r="I2119" s="72">
        <v>1058.5</v>
      </c>
      <c r="J2119" s="70">
        <v>0.98161764705882337</v>
      </c>
    </row>
    <row r="2120" spans="9:10" x14ac:dyDescent="0.3">
      <c r="I2120" s="72">
        <v>1059</v>
      </c>
      <c r="J2120" s="70">
        <v>0.98161764705882337</v>
      </c>
    </row>
    <row r="2121" spans="9:10" x14ac:dyDescent="0.3">
      <c r="I2121" s="72">
        <v>1059.5</v>
      </c>
      <c r="J2121" s="70">
        <v>0.98161764705882337</v>
      </c>
    </row>
    <row r="2122" spans="9:10" x14ac:dyDescent="0.3">
      <c r="I2122" s="72">
        <v>1060</v>
      </c>
      <c r="J2122" s="70">
        <v>0.98161764705882337</v>
      </c>
    </row>
    <row r="2123" spans="9:10" x14ac:dyDescent="0.3">
      <c r="I2123" s="72">
        <v>1060.5</v>
      </c>
      <c r="J2123" s="70">
        <v>0.98161764705882337</v>
      </c>
    </row>
    <row r="2124" spans="9:10" x14ac:dyDescent="0.3">
      <c r="I2124" s="72">
        <v>1061</v>
      </c>
      <c r="J2124" s="70">
        <v>0.98161764705882337</v>
      </c>
    </row>
    <row r="2125" spans="9:10" x14ac:dyDescent="0.3">
      <c r="I2125" s="72">
        <v>1061.5</v>
      </c>
      <c r="J2125" s="70">
        <v>0.98161764705882337</v>
      </c>
    </row>
    <row r="2126" spans="9:10" x14ac:dyDescent="0.3">
      <c r="I2126" s="72">
        <v>1062</v>
      </c>
      <c r="J2126" s="70">
        <v>0.98161764705882337</v>
      </c>
    </row>
    <row r="2127" spans="9:10" x14ac:dyDescent="0.3">
      <c r="I2127" s="72">
        <v>1062.5</v>
      </c>
      <c r="J2127" s="70">
        <v>0.98161764705882337</v>
      </c>
    </row>
    <row r="2128" spans="9:10" x14ac:dyDescent="0.3">
      <c r="I2128" s="72">
        <v>1063</v>
      </c>
      <c r="J2128" s="70">
        <v>0.98161764705882337</v>
      </c>
    </row>
    <row r="2129" spans="9:10" x14ac:dyDescent="0.3">
      <c r="I2129" s="72">
        <v>1063.5</v>
      </c>
      <c r="J2129" s="70">
        <v>0.98161764705882337</v>
      </c>
    </row>
    <row r="2130" spans="9:10" x14ac:dyDescent="0.3">
      <c r="I2130" s="72">
        <v>1064</v>
      </c>
      <c r="J2130" s="70">
        <v>0.98161764705882337</v>
      </c>
    </row>
    <row r="2131" spans="9:10" x14ac:dyDescent="0.3">
      <c r="I2131" s="72">
        <v>1064.5</v>
      </c>
      <c r="J2131" s="70">
        <v>0.98161764705882337</v>
      </c>
    </row>
    <row r="2132" spans="9:10" x14ac:dyDescent="0.3">
      <c r="I2132" s="72">
        <v>1065</v>
      </c>
      <c r="J2132" s="70">
        <v>0.98161764705882337</v>
      </c>
    </row>
    <row r="2133" spans="9:10" x14ac:dyDescent="0.3">
      <c r="I2133" s="72">
        <v>1065.5</v>
      </c>
      <c r="J2133" s="70">
        <v>0.98161764705882337</v>
      </c>
    </row>
    <row r="2134" spans="9:10" x14ac:dyDescent="0.3">
      <c r="I2134" s="72">
        <v>1066</v>
      </c>
      <c r="J2134" s="70">
        <v>0.98161764705882337</v>
      </c>
    </row>
    <row r="2135" spans="9:10" x14ac:dyDescent="0.3">
      <c r="I2135" s="72">
        <v>1066.5</v>
      </c>
      <c r="J2135" s="70">
        <v>0.98161764705882337</v>
      </c>
    </row>
    <row r="2136" spans="9:10" x14ac:dyDescent="0.3">
      <c r="I2136" s="72">
        <v>1067</v>
      </c>
      <c r="J2136" s="70">
        <v>0.98161764705882337</v>
      </c>
    </row>
    <row r="2137" spans="9:10" x14ac:dyDescent="0.3">
      <c r="I2137" s="72">
        <v>1067.5</v>
      </c>
      <c r="J2137" s="70">
        <v>0.98161764705882337</v>
      </c>
    </row>
    <row r="2138" spans="9:10" x14ac:dyDescent="0.3">
      <c r="I2138" s="72">
        <v>1068</v>
      </c>
      <c r="J2138" s="70">
        <v>0.98161764705882337</v>
      </c>
    </row>
    <row r="2139" spans="9:10" x14ac:dyDescent="0.3">
      <c r="I2139" s="72">
        <v>1068.5</v>
      </c>
      <c r="J2139" s="70">
        <v>0.98161764705882337</v>
      </c>
    </row>
    <row r="2140" spans="9:10" x14ac:dyDescent="0.3">
      <c r="I2140" s="72">
        <v>1069</v>
      </c>
      <c r="J2140" s="70">
        <v>0.98161764705882337</v>
      </c>
    </row>
    <row r="2141" spans="9:10" x14ac:dyDescent="0.3">
      <c r="I2141" s="72">
        <v>1069.5</v>
      </c>
      <c r="J2141" s="70">
        <v>0.98161764705882337</v>
      </c>
    </row>
    <row r="2142" spans="9:10" x14ac:dyDescent="0.3">
      <c r="I2142" s="72">
        <v>1070</v>
      </c>
      <c r="J2142" s="70">
        <v>0.98161764705882337</v>
      </c>
    </row>
    <row r="2143" spans="9:10" x14ac:dyDescent="0.3">
      <c r="I2143" s="72">
        <v>1070.5</v>
      </c>
      <c r="J2143" s="70">
        <v>0.98161764705882337</v>
      </c>
    </row>
    <row r="2144" spans="9:10" x14ac:dyDescent="0.3">
      <c r="I2144" s="72">
        <v>1071</v>
      </c>
      <c r="J2144" s="70">
        <v>0.98161764705882337</v>
      </c>
    </row>
    <row r="2145" spans="9:10" x14ac:dyDescent="0.3">
      <c r="I2145" s="72">
        <v>1071.5</v>
      </c>
      <c r="J2145" s="70">
        <v>0.98161764705882337</v>
      </c>
    </row>
    <row r="2146" spans="9:10" x14ac:dyDescent="0.3">
      <c r="I2146" s="72">
        <v>1072</v>
      </c>
      <c r="J2146" s="70">
        <v>0.98161764705882337</v>
      </c>
    </row>
    <row r="2147" spans="9:10" x14ac:dyDescent="0.3">
      <c r="I2147" s="72">
        <v>1072.5</v>
      </c>
      <c r="J2147" s="70">
        <v>0.98161764705882337</v>
      </c>
    </row>
    <row r="2148" spans="9:10" x14ac:dyDescent="0.3">
      <c r="I2148" s="72">
        <v>1073</v>
      </c>
      <c r="J2148" s="70">
        <v>0.98161764705882337</v>
      </c>
    </row>
    <row r="2149" spans="9:10" x14ac:dyDescent="0.3">
      <c r="I2149" s="72">
        <v>1073.5</v>
      </c>
      <c r="J2149" s="70">
        <v>0.98161764705882337</v>
      </c>
    </row>
    <row r="2150" spans="9:10" x14ac:dyDescent="0.3">
      <c r="I2150" s="72">
        <v>1074</v>
      </c>
      <c r="J2150" s="70">
        <v>0.98161764705882337</v>
      </c>
    </row>
    <row r="2151" spans="9:10" x14ac:dyDescent="0.3">
      <c r="I2151" s="72">
        <v>1074.5</v>
      </c>
      <c r="J2151" s="70">
        <v>0.98161764705882337</v>
      </c>
    </row>
    <row r="2152" spans="9:10" x14ac:dyDescent="0.3">
      <c r="I2152" s="72">
        <v>1075</v>
      </c>
      <c r="J2152" s="70">
        <v>0.98161764705882337</v>
      </c>
    </row>
    <row r="2153" spans="9:10" x14ac:dyDescent="0.3">
      <c r="I2153" s="72">
        <v>1075.5</v>
      </c>
      <c r="J2153" s="70">
        <v>0.98161764705882337</v>
      </c>
    </row>
    <row r="2154" spans="9:10" x14ac:dyDescent="0.3">
      <c r="I2154" s="72">
        <v>1076</v>
      </c>
      <c r="J2154" s="70">
        <v>0.98161764705882337</v>
      </c>
    </row>
    <row r="2155" spans="9:10" x14ac:dyDescent="0.3">
      <c r="I2155" s="72">
        <v>1076.5</v>
      </c>
      <c r="J2155" s="70">
        <v>0.98161764705882337</v>
      </c>
    </row>
    <row r="2156" spans="9:10" x14ac:dyDescent="0.3">
      <c r="I2156" s="72">
        <v>1077</v>
      </c>
      <c r="J2156" s="70">
        <v>0.98161764705882337</v>
      </c>
    </row>
    <row r="2157" spans="9:10" x14ac:dyDescent="0.3">
      <c r="I2157" s="72">
        <v>1077.5</v>
      </c>
      <c r="J2157" s="70">
        <v>0.98161764705882337</v>
      </c>
    </row>
    <row r="2158" spans="9:10" x14ac:dyDescent="0.3">
      <c r="I2158" s="72">
        <v>1078</v>
      </c>
      <c r="J2158" s="70">
        <v>0.98161764705882337</v>
      </c>
    </row>
    <row r="2159" spans="9:10" x14ac:dyDescent="0.3">
      <c r="I2159" s="72">
        <v>1078.5</v>
      </c>
      <c r="J2159" s="70">
        <v>0.98161764705882337</v>
      </c>
    </row>
    <row r="2160" spans="9:10" x14ac:dyDescent="0.3">
      <c r="I2160" s="72">
        <v>1079</v>
      </c>
      <c r="J2160" s="70">
        <v>0.98161764705882337</v>
      </c>
    </row>
    <row r="2161" spans="9:10" x14ac:dyDescent="0.3">
      <c r="I2161" s="72">
        <v>1079.5</v>
      </c>
      <c r="J2161" s="70">
        <v>0.98161764705882337</v>
      </c>
    </row>
    <row r="2162" spans="9:10" x14ac:dyDescent="0.3">
      <c r="I2162" s="72">
        <v>1080</v>
      </c>
      <c r="J2162" s="70">
        <v>0.98161764705882337</v>
      </c>
    </row>
    <row r="2163" spans="9:10" x14ac:dyDescent="0.3">
      <c r="I2163" s="72">
        <v>1080.5</v>
      </c>
      <c r="J2163" s="70">
        <v>0.98161764705882337</v>
      </c>
    </row>
    <row r="2164" spans="9:10" x14ac:dyDescent="0.3">
      <c r="I2164" s="72">
        <v>1081</v>
      </c>
      <c r="J2164" s="70">
        <v>0.98161764705882337</v>
      </c>
    </row>
    <row r="2165" spans="9:10" x14ac:dyDescent="0.3">
      <c r="I2165" s="72">
        <v>1081.5</v>
      </c>
      <c r="J2165" s="70">
        <v>0.98161764705882337</v>
      </c>
    </row>
    <row r="2166" spans="9:10" x14ac:dyDescent="0.3">
      <c r="I2166" s="72">
        <v>1082</v>
      </c>
      <c r="J2166" s="70">
        <v>0.98161764705882337</v>
      </c>
    </row>
    <row r="2167" spans="9:10" x14ac:dyDescent="0.3">
      <c r="I2167" s="72">
        <v>1082.5</v>
      </c>
      <c r="J2167" s="70">
        <v>0.98161764705882337</v>
      </c>
    </row>
    <row r="2168" spans="9:10" x14ac:dyDescent="0.3">
      <c r="I2168" s="72">
        <v>1083</v>
      </c>
      <c r="J2168" s="70">
        <v>0.98161764705882337</v>
      </c>
    </row>
    <row r="2169" spans="9:10" x14ac:dyDescent="0.3">
      <c r="I2169" s="72">
        <v>1083.5</v>
      </c>
      <c r="J2169" s="70">
        <v>0.98161764705882337</v>
      </c>
    </row>
    <row r="2170" spans="9:10" x14ac:dyDescent="0.3">
      <c r="I2170" s="72">
        <v>1084</v>
      </c>
      <c r="J2170" s="70">
        <v>0.98161764705882337</v>
      </c>
    </row>
    <row r="2171" spans="9:10" x14ac:dyDescent="0.3">
      <c r="I2171" s="72">
        <v>1084.5</v>
      </c>
      <c r="J2171" s="70">
        <v>0.98161764705882337</v>
      </c>
    </row>
    <row r="2172" spans="9:10" x14ac:dyDescent="0.3">
      <c r="I2172" s="72">
        <v>1085</v>
      </c>
      <c r="J2172" s="70">
        <v>0.98161764705882337</v>
      </c>
    </row>
    <row r="2173" spans="9:10" x14ac:dyDescent="0.3">
      <c r="I2173" s="72">
        <v>1085.5</v>
      </c>
      <c r="J2173" s="70">
        <v>0.98161764705882337</v>
      </c>
    </row>
    <row r="2174" spans="9:10" x14ac:dyDescent="0.3">
      <c r="I2174" s="72">
        <v>1086</v>
      </c>
      <c r="J2174" s="70">
        <v>0.98161764705882337</v>
      </c>
    </row>
    <row r="2175" spans="9:10" x14ac:dyDescent="0.3">
      <c r="I2175" s="72">
        <v>1086.5</v>
      </c>
      <c r="J2175" s="70">
        <v>0.98161764705882337</v>
      </c>
    </row>
    <row r="2176" spans="9:10" x14ac:dyDescent="0.3">
      <c r="I2176" s="72">
        <v>1087</v>
      </c>
      <c r="J2176" s="70">
        <v>0.98161764705882337</v>
      </c>
    </row>
    <row r="2177" spans="9:10" x14ac:dyDescent="0.3">
      <c r="I2177" s="72">
        <v>1087.5</v>
      </c>
      <c r="J2177" s="70">
        <v>0.98161764705882337</v>
      </c>
    </row>
    <row r="2178" spans="9:10" x14ac:dyDescent="0.3">
      <c r="I2178" s="72">
        <v>1088</v>
      </c>
      <c r="J2178" s="70">
        <v>0.98161764705882337</v>
      </c>
    </row>
    <row r="2179" spans="9:10" x14ac:dyDescent="0.3">
      <c r="I2179" s="72">
        <v>1088.5</v>
      </c>
      <c r="J2179" s="70">
        <v>0.98161764705882337</v>
      </c>
    </row>
    <row r="2180" spans="9:10" x14ac:dyDescent="0.3">
      <c r="I2180" s="72">
        <v>1089</v>
      </c>
      <c r="J2180" s="70">
        <v>0.98161764705882337</v>
      </c>
    </row>
    <row r="2181" spans="9:10" x14ac:dyDescent="0.3">
      <c r="I2181" s="72">
        <v>1089.5</v>
      </c>
      <c r="J2181" s="70">
        <v>0.98161764705882337</v>
      </c>
    </row>
    <row r="2182" spans="9:10" x14ac:dyDescent="0.3">
      <c r="I2182" s="72">
        <v>1090</v>
      </c>
      <c r="J2182" s="70">
        <v>0.98161764705882337</v>
      </c>
    </row>
    <row r="2183" spans="9:10" x14ac:dyDescent="0.3">
      <c r="I2183" s="72">
        <v>1090.5</v>
      </c>
      <c r="J2183" s="70">
        <v>0.98161764705882337</v>
      </c>
    </row>
    <row r="2184" spans="9:10" x14ac:dyDescent="0.3">
      <c r="I2184" s="72">
        <v>1091</v>
      </c>
      <c r="J2184" s="70">
        <v>0.98161764705882337</v>
      </c>
    </row>
    <row r="2185" spans="9:10" x14ac:dyDescent="0.3">
      <c r="I2185" s="72">
        <v>1091.5</v>
      </c>
      <c r="J2185" s="70">
        <v>0.98161764705882337</v>
      </c>
    </row>
    <row r="2186" spans="9:10" x14ac:dyDescent="0.3">
      <c r="I2186" s="72">
        <v>1092</v>
      </c>
      <c r="J2186" s="70">
        <v>0.98161764705882337</v>
      </c>
    </row>
    <row r="2187" spans="9:10" x14ac:dyDescent="0.3">
      <c r="I2187" s="72">
        <v>1092.5</v>
      </c>
      <c r="J2187" s="70">
        <v>0.98161764705882337</v>
      </c>
    </row>
    <row r="2188" spans="9:10" x14ac:dyDescent="0.3">
      <c r="I2188" s="72">
        <v>1093</v>
      </c>
      <c r="J2188" s="70">
        <v>0.98161764705882337</v>
      </c>
    </row>
    <row r="2189" spans="9:10" x14ac:dyDescent="0.3">
      <c r="I2189" s="72">
        <v>1093.5</v>
      </c>
      <c r="J2189" s="70">
        <v>0.98161764705882337</v>
      </c>
    </row>
    <row r="2190" spans="9:10" x14ac:dyDescent="0.3">
      <c r="I2190" s="72">
        <v>1094</v>
      </c>
      <c r="J2190" s="70">
        <v>0.98161764705882337</v>
      </c>
    </row>
    <row r="2191" spans="9:10" x14ac:dyDescent="0.3">
      <c r="I2191" s="72">
        <v>1094.5</v>
      </c>
      <c r="J2191" s="70">
        <v>0.98161764705882337</v>
      </c>
    </row>
    <row r="2192" spans="9:10" x14ac:dyDescent="0.3">
      <c r="I2192" s="72">
        <v>1095</v>
      </c>
      <c r="J2192" s="70">
        <v>0.98161764705882337</v>
      </c>
    </row>
    <row r="2193" spans="9:10" x14ac:dyDescent="0.3">
      <c r="I2193" s="72">
        <v>1095.5</v>
      </c>
      <c r="J2193" s="70">
        <v>0.98161764705882337</v>
      </c>
    </row>
    <row r="2194" spans="9:10" x14ac:dyDescent="0.3">
      <c r="I2194" s="72">
        <v>1096</v>
      </c>
      <c r="J2194" s="70">
        <v>0.98345588235294101</v>
      </c>
    </row>
    <row r="2195" spans="9:10" x14ac:dyDescent="0.3">
      <c r="I2195" s="72">
        <v>1096.5</v>
      </c>
      <c r="J2195" s="70">
        <v>0.98345588235294101</v>
      </c>
    </row>
    <row r="2196" spans="9:10" x14ac:dyDescent="0.3">
      <c r="I2196" s="72">
        <v>1097</v>
      </c>
      <c r="J2196" s="70">
        <v>0.98345588235294101</v>
      </c>
    </row>
    <row r="2197" spans="9:10" x14ac:dyDescent="0.3">
      <c r="I2197" s="72">
        <v>1097.5</v>
      </c>
      <c r="J2197" s="70">
        <v>0.98345588235294101</v>
      </c>
    </row>
    <row r="2198" spans="9:10" x14ac:dyDescent="0.3">
      <c r="I2198" s="72">
        <v>1098</v>
      </c>
      <c r="J2198" s="70">
        <v>0.98345588235294101</v>
      </c>
    </row>
    <row r="2199" spans="9:10" x14ac:dyDescent="0.3">
      <c r="I2199" s="72">
        <v>1098.5</v>
      </c>
      <c r="J2199" s="70">
        <v>0.98345588235294101</v>
      </c>
    </row>
    <row r="2200" spans="9:10" x14ac:dyDescent="0.3">
      <c r="I2200" s="72">
        <v>1099</v>
      </c>
      <c r="J2200" s="70">
        <v>0.98345588235294101</v>
      </c>
    </row>
    <row r="2201" spans="9:10" x14ac:dyDescent="0.3">
      <c r="I2201" s="72">
        <v>1099.5</v>
      </c>
      <c r="J2201" s="70">
        <v>0.98345588235294101</v>
      </c>
    </row>
    <row r="2202" spans="9:10" x14ac:dyDescent="0.3">
      <c r="I2202" s="72">
        <v>1100</v>
      </c>
      <c r="J2202" s="70">
        <v>0.98345588235294101</v>
      </c>
    </row>
    <row r="2203" spans="9:10" x14ac:dyDescent="0.3">
      <c r="I2203" s="72">
        <v>1100.5</v>
      </c>
      <c r="J2203" s="70">
        <v>0.98345588235294101</v>
      </c>
    </row>
    <row r="2204" spans="9:10" x14ac:dyDescent="0.3">
      <c r="I2204" s="72">
        <v>1101</v>
      </c>
      <c r="J2204" s="70">
        <v>0.98345588235294101</v>
      </c>
    </row>
    <row r="2205" spans="9:10" x14ac:dyDescent="0.3">
      <c r="I2205" s="72">
        <v>1101.5</v>
      </c>
      <c r="J2205" s="70">
        <v>0.98345588235294101</v>
      </c>
    </row>
    <row r="2206" spans="9:10" x14ac:dyDescent="0.3">
      <c r="I2206" s="72">
        <v>1102</v>
      </c>
      <c r="J2206" s="70">
        <v>0.98345588235294101</v>
      </c>
    </row>
    <row r="2207" spans="9:10" x14ac:dyDescent="0.3">
      <c r="I2207" s="72">
        <v>1102.5</v>
      </c>
      <c r="J2207" s="70">
        <v>0.98345588235294101</v>
      </c>
    </row>
    <row r="2208" spans="9:10" x14ac:dyDescent="0.3">
      <c r="I2208" s="72">
        <v>1103</v>
      </c>
      <c r="J2208" s="70">
        <v>0.98345588235294101</v>
      </c>
    </row>
    <row r="2209" spans="9:10" x14ac:dyDescent="0.3">
      <c r="I2209" s="72">
        <v>1103.5</v>
      </c>
      <c r="J2209" s="70">
        <v>0.98345588235294101</v>
      </c>
    </row>
    <row r="2210" spans="9:10" x14ac:dyDescent="0.3">
      <c r="I2210" s="72">
        <v>1104</v>
      </c>
      <c r="J2210" s="70">
        <v>0.98345588235294101</v>
      </c>
    </row>
    <row r="2211" spans="9:10" x14ac:dyDescent="0.3">
      <c r="I2211" s="72">
        <v>1104.5</v>
      </c>
      <c r="J2211" s="70">
        <v>0.98345588235294101</v>
      </c>
    </row>
    <row r="2212" spans="9:10" x14ac:dyDescent="0.3">
      <c r="I2212" s="72">
        <v>1105</v>
      </c>
      <c r="J2212" s="70">
        <v>0.98345588235294101</v>
      </c>
    </row>
    <row r="2213" spans="9:10" x14ac:dyDescent="0.3">
      <c r="I2213" s="72">
        <v>1105.5</v>
      </c>
      <c r="J2213" s="70">
        <v>0.98345588235294101</v>
      </c>
    </row>
    <row r="2214" spans="9:10" x14ac:dyDescent="0.3">
      <c r="I2214" s="72">
        <v>1106</v>
      </c>
      <c r="J2214" s="70">
        <v>0.98345588235294101</v>
      </c>
    </row>
    <row r="2215" spans="9:10" x14ac:dyDescent="0.3">
      <c r="I2215" s="72">
        <v>1106.5</v>
      </c>
      <c r="J2215" s="70">
        <v>0.98345588235294101</v>
      </c>
    </row>
    <row r="2216" spans="9:10" x14ac:dyDescent="0.3">
      <c r="I2216" s="72">
        <v>1107</v>
      </c>
      <c r="J2216" s="70">
        <v>0.98345588235294101</v>
      </c>
    </row>
    <row r="2217" spans="9:10" x14ac:dyDescent="0.3">
      <c r="I2217" s="72">
        <v>1107.5</v>
      </c>
      <c r="J2217" s="70">
        <v>0.98345588235294101</v>
      </c>
    </row>
    <row r="2218" spans="9:10" x14ac:dyDescent="0.3">
      <c r="I2218" s="72">
        <v>1108</v>
      </c>
      <c r="J2218" s="70">
        <v>0.98345588235294101</v>
      </c>
    </row>
    <row r="2219" spans="9:10" x14ac:dyDescent="0.3">
      <c r="I2219" s="72">
        <v>1108.5</v>
      </c>
      <c r="J2219" s="70">
        <v>0.98345588235294101</v>
      </c>
    </row>
    <row r="2220" spans="9:10" x14ac:dyDescent="0.3">
      <c r="I2220" s="72">
        <v>1109</v>
      </c>
      <c r="J2220" s="70">
        <v>0.98345588235294101</v>
      </c>
    </row>
    <row r="2221" spans="9:10" x14ac:dyDescent="0.3">
      <c r="I2221" s="72">
        <v>1109.5</v>
      </c>
      <c r="J2221" s="70">
        <v>0.98345588235294101</v>
      </c>
    </row>
    <row r="2222" spans="9:10" x14ac:dyDescent="0.3">
      <c r="I2222" s="72">
        <v>1110</v>
      </c>
      <c r="J2222" s="70">
        <v>0.98345588235294101</v>
      </c>
    </row>
    <row r="2223" spans="9:10" x14ac:dyDescent="0.3">
      <c r="I2223" s="72">
        <v>1110.5</v>
      </c>
      <c r="J2223" s="70">
        <v>0.98345588235294101</v>
      </c>
    </row>
    <row r="2224" spans="9:10" x14ac:dyDescent="0.3">
      <c r="I2224" s="72">
        <v>1111</v>
      </c>
      <c r="J2224" s="70">
        <v>0.98345588235294101</v>
      </c>
    </row>
    <row r="2225" spans="9:10" x14ac:dyDescent="0.3">
      <c r="I2225" s="72">
        <v>1111.5</v>
      </c>
      <c r="J2225" s="70">
        <v>0.98345588235294101</v>
      </c>
    </row>
    <row r="2226" spans="9:10" x14ac:dyDescent="0.3">
      <c r="I2226" s="72">
        <v>1112</v>
      </c>
      <c r="J2226" s="70">
        <v>0.98345588235294101</v>
      </c>
    </row>
    <row r="2227" spans="9:10" x14ac:dyDescent="0.3">
      <c r="I2227" s="72">
        <v>1112.5</v>
      </c>
      <c r="J2227" s="70">
        <v>0.98345588235294101</v>
      </c>
    </row>
    <row r="2228" spans="9:10" x14ac:dyDescent="0.3">
      <c r="I2228" s="72">
        <v>1113</v>
      </c>
      <c r="J2228" s="70">
        <v>0.98345588235294101</v>
      </c>
    </row>
    <row r="2229" spans="9:10" x14ac:dyDescent="0.3">
      <c r="I2229" s="72">
        <v>1113.5</v>
      </c>
      <c r="J2229" s="70">
        <v>0.98345588235294101</v>
      </c>
    </row>
    <row r="2230" spans="9:10" x14ac:dyDescent="0.3">
      <c r="I2230" s="72">
        <v>1114</v>
      </c>
      <c r="J2230" s="70">
        <v>0.98345588235294101</v>
      </c>
    </row>
    <row r="2231" spans="9:10" x14ac:dyDescent="0.3">
      <c r="I2231" s="72">
        <v>1114.5</v>
      </c>
      <c r="J2231" s="70">
        <v>0.98345588235294101</v>
      </c>
    </row>
    <row r="2232" spans="9:10" x14ac:dyDescent="0.3">
      <c r="I2232" s="72">
        <v>1115</v>
      </c>
      <c r="J2232" s="70">
        <v>0.98345588235294101</v>
      </c>
    </row>
    <row r="2233" spans="9:10" x14ac:dyDescent="0.3">
      <c r="I2233" s="72">
        <v>1115.5</v>
      </c>
      <c r="J2233" s="70">
        <v>0.98345588235294101</v>
      </c>
    </row>
    <row r="2234" spans="9:10" x14ac:dyDescent="0.3">
      <c r="I2234" s="72">
        <v>1116</v>
      </c>
      <c r="J2234" s="70">
        <v>0.98345588235294101</v>
      </c>
    </row>
    <row r="2235" spans="9:10" x14ac:dyDescent="0.3">
      <c r="I2235" s="72">
        <v>1116.5</v>
      </c>
      <c r="J2235" s="70">
        <v>0.98345588235294101</v>
      </c>
    </row>
    <row r="2236" spans="9:10" x14ac:dyDescent="0.3">
      <c r="I2236" s="72">
        <v>1117</v>
      </c>
      <c r="J2236" s="70">
        <v>0.98345588235294101</v>
      </c>
    </row>
    <row r="2237" spans="9:10" x14ac:dyDescent="0.3">
      <c r="I2237" s="72">
        <v>1117.5</v>
      </c>
      <c r="J2237" s="70">
        <v>0.98345588235294101</v>
      </c>
    </row>
    <row r="2238" spans="9:10" x14ac:dyDescent="0.3">
      <c r="I2238" s="72">
        <v>1118</v>
      </c>
      <c r="J2238" s="70">
        <v>0.98345588235294101</v>
      </c>
    </row>
    <row r="2239" spans="9:10" x14ac:dyDescent="0.3">
      <c r="I2239" s="72">
        <v>1118.5</v>
      </c>
      <c r="J2239" s="70">
        <v>0.98345588235294101</v>
      </c>
    </row>
    <row r="2240" spans="9:10" x14ac:dyDescent="0.3">
      <c r="I2240" s="72">
        <v>1119</v>
      </c>
      <c r="J2240" s="70">
        <v>0.98345588235294101</v>
      </c>
    </row>
    <row r="2241" spans="9:10" x14ac:dyDescent="0.3">
      <c r="I2241" s="72">
        <v>1119.5</v>
      </c>
      <c r="J2241" s="70">
        <v>0.98345588235294101</v>
      </c>
    </row>
    <row r="2242" spans="9:10" x14ac:dyDescent="0.3">
      <c r="I2242" s="72">
        <v>1120</v>
      </c>
      <c r="J2242" s="70">
        <v>0.98345588235294101</v>
      </c>
    </row>
    <row r="2243" spans="9:10" x14ac:dyDescent="0.3">
      <c r="I2243" s="72">
        <v>1120.5</v>
      </c>
      <c r="J2243" s="70">
        <v>0.98345588235294101</v>
      </c>
    </row>
    <row r="2244" spans="9:10" x14ac:dyDescent="0.3">
      <c r="I2244" s="72">
        <v>1121</v>
      </c>
      <c r="J2244" s="70">
        <v>0.98345588235294101</v>
      </c>
    </row>
    <row r="2245" spans="9:10" x14ac:dyDescent="0.3">
      <c r="I2245" s="72">
        <v>1121.5</v>
      </c>
      <c r="J2245" s="70">
        <v>0.98345588235294101</v>
      </c>
    </row>
    <row r="2246" spans="9:10" x14ac:dyDescent="0.3">
      <c r="I2246" s="72">
        <v>1122</v>
      </c>
      <c r="J2246" s="70">
        <v>0.98345588235294101</v>
      </c>
    </row>
    <row r="2247" spans="9:10" x14ac:dyDescent="0.3">
      <c r="I2247" s="72">
        <v>1122.5</v>
      </c>
      <c r="J2247" s="70">
        <v>0.98345588235294101</v>
      </c>
    </row>
    <row r="2248" spans="9:10" x14ac:dyDescent="0.3">
      <c r="I2248" s="72">
        <v>1123</v>
      </c>
      <c r="J2248" s="70">
        <v>0.98345588235294101</v>
      </c>
    </row>
    <row r="2249" spans="9:10" x14ac:dyDescent="0.3">
      <c r="I2249" s="72">
        <v>1123.5</v>
      </c>
      <c r="J2249" s="70">
        <v>0.98345588235294101</v>
      </c>
    </row>
    <row r="2250" spans="9:10" x14ac:dyDescent="0.3">
      <c r="I2250" s="72">
        <v>1124</v>
      </c>
      <c r="J2250" s="70">
        <v>0.98345588235294101</v>
      </c>
    </row>
    <row r="2251" spans="9:10" x14ac:dyDescent="0.3">
      <c r="I2251" s="72">
        <v>1124.5</v>
      </c>
      <c r="J2251" s="70">
        <v>0.98345588235294101</v>
      </c>
    </row>
    <row r="2252" spans="9:10" x14ac:dyDescent="0.3">
      <c r="I2252" s="72">
        <v>1125</v>
      </c>
      <c r="J2252" s="70">
        <v>0.98345588235294101</v>
      </c>
    </row>
    <row r="2253" spans="9:10" x14ac:dyDescent="0.3">
      <c r="I2253" s="72">
        <v>1125.5</v>
      </c>
      <c r="J2253" s="70">
        <v>0.98345588235294101</v>
      </c>
    </row>
    <row r="2254" spans="9:10" x14ac:dyDescent="0.3">
      <c r="I2254" s="72">
        <v>1126</v>
      </c>
      <c r="J2254" s="70">
        <v>0.98345588235294101</v>
      </c>
    </row>
    <row r="2255" spans="9:10" x14ac:dyDescent="0.3">
      <c r="I2255" s="72">
        <v>1126.5</v>
      </c>
      <c r="J2255" s="70">
        <v>0.98345588235294101</v>
      </c>
    </row>
    <row r="2256" spans="9:10" x14ac:dyDescent="0.3">
      <c r="I2256" s="72">
        <v>1127</v>
      </c>
      <c r="J2256" s="70">
        <v>0.98345588235294101</v>
      </c>
    </row>
    <row r="2257" spans="9:10" x14ac:dyDescent="0.3">
      <c r="I2257" s="72">
        <v>1127.5</v>
      </c>
      <c r="J2257" s="70">
        <v>0.98345588235294101</v>
      </c>
    </row>
    <row r="2258" spans="9:10" x14ac:dyDescent="0.3">
      <c r="I2258" s="72">
        <v>1128</v>
      </c>
      <c r="J2258" s="70">
        <v>0.98345588235294101</v>
      </c>
    </row>
    <row r="2259" spans="9:10" x14ac:dyDescent="0.3">
      <c r="I2259" s="72">
        <v>1128.5</v>
      </c>
      <c r="J2259" s="70">
        <v>0.98345588235294101</v>
      </c>
    </row>
    <row r="2260" spans="9:10" x14ac:dyDescent="0.3">
      <c r="I2260" s="72">
        <v>1129</v>
      </c>
      <c r="J2260" s="70">
        <v>0.98345588235294101</v>
      </c>
    </row>
    <row r="2261" spans="9:10" x14ac:dyDescent="0.3">
      <c r="I2261" s="72">
        <v>1129.5</v>
      </c>
      <c r="J2261" s="70">
        <v>0.98345588235294101</v>
      </c>
    </row>
    <row r="2262" spans="9:10" x14ac:dyDescent="0.3">
      <c r="I2262" s="72">
        <v>1130</v>
      </c>
      <c r="J2262" s="70">
        <v>0.98345588235294101</v>
      </c>
    </row>
    <row r="2263" spans="9:10" x14ac:dyDescent="0.3">
      <c r="I2263" s="72">
        <v>1130.5</v>
      </c>
      <c r="J2263" s="70">
        <v>0.98345588235294101</v>
      </c>
    </row>
    <row r="2264" spans="9:10" x14ac:dyDescent="0.3">
      <c r="I2264" s="72">
        <v>1131</v>
      </c>
      <c r="J2264" s="70">
        <v>0.98345588235294101</v>
      </c>
    </row>
    <row r="2265" spans="9:10" x14ac:dyDescent="0.3">
      <c r="I2265" s="72">
        <v>1131.5</v>
      </c>
      <c r="J2265" s="70">
        <v>0.98345588235294101</v>
      </c>
    </row>
    <row r="2266" spans="9:10" x14ac:dyDescent="0.3">
      <c r="I2266" s="72">
        <v>1132</v>
      </c>
      <c r="J2266" s="70">
        <v>0.98345588235294101</v>
      </c>
    </row>
    <row r="2267" spans="9:10" x14ac:dyDescent="0.3">
      <c r="I2267" s="72">
        <v>1132.5</v>
      </c>
      <c r="J2267" s="70">
        <v>0.98345588235294101</v>
      </c>
    </row>
    <row r="2268" spans="9:10" x14ac:dyDescent="0.3">
      <c r="I2268" s="72">
        <v>1133</v>
      </c>
      <c r="J2268" s="70">
        <v>0.98345588235294101</v>
      </c>
    </row>
    <row r="2269" spans="9:10" x14ac:dyDescent="0.3">
      <c r="I2269" s="72">
        <v>1133.5</v>
      </c>
      <c r="J2269" s="70">
        <v>0.98345588235294101</v>
      </c>
    </row>
    <row r="2270" spans="9:10" x14ac:dyDescent="0.3">
      <c r="I2270" s="72">
        <v>1134</v>
      </c>
      <c r="J2270" s="70">
        <v>0.98345588235294101</v>
      </c>
    </row>
    <row r="2271" spans="9:10" x14ac:dyDescent="0.3">
      <c r="I2271" s="72">
        <v>1134.5</v>
      </c>
      <c r="J2271" s="70">
        <v>0.98345588235294101</v>
      </c>
    </row>
    <row r="2272" spans="9:10" x14ac:dyDescent="0.3">
      <c r="I2272" s="72">
        <v>1135</v>
      </c>
      <c r="J2272" s="70">
        <v>0.98345588235294101</v>
      </c>
    </row>
    <row r="2273" spans="9:10" x14ac:dyDescent="0.3">
      <c r="I2273" s="72">
        <v>1135.5</v>
      </c>
      <c r="J2273" s="70">
        <v>0.98345588235294101</v>
      </c>
    </row>
    <row r="2274" spans="9:10" x14ac:dyDescent="0.3">
      <c r="I2274" s="72">
        <v>1136</v>
      </c>
      <c r="J2274" s="70">
        <v>0.98345588235294101</v>
      </c>
    </row>
    <row r="2275" spans="9:10" x14ac:dyDescent="0.3">
      <c r="I2275" s="72">
        <v>1136.5</v>
      </c>
      <c r="J2275" s="70">
        <v>0.98345588235294101</v>
      </c>
    </row>
    <row r="2276" spans="9:10" x14ac:dyDescent="0.3">
      <c r="I2276" s="72">
        <v>1137</v>
      </c>
      <c r="J2276" s="70">
        <v>0.98345588235294101</v>
      </c>
    </row>
    <row r="2277" spans="9:10" x14ac:dyDescent="0.3">
      <c r="I2277" s="72">
        <v>1137.5</v>
      </c>
      <c r="J2277" s="70">
        <v>0.98345588235294101</v>
      </c>
    </row>
    <row r="2278" spans="9:10" x14ac:dyDescent="0.3">
      <c r="I2278" s="72">
        <v>1138</v>
      </c>
      <c r="J2278" s="70">
        <v>0.98345588235294101</v>
      </c>
    </row>
    <row r="2279" spans="9:10" x14ac:dyDescent="0.3">
      <c r="I2279" s="72">
        <v>1138.5</v>
      </c>
      <c r="J2279" s="70">
        <v>0.98345588235294101</v>
      </c>
    </row>
    <row r="2280" spans="9:10" x14ac:dyDescent="0.3">
      <c r="I2280" s="72">
        <v>1139</v>
      </c>
      <c r="J2280" s="70">
        <v>0.98345588235294101</v>
      </c>
    </row>
    <row r="2281" spans="9:10" x14ac:dyDescent="0.3">
      <c r="I2281" s="72">
        <v>1139.5</v>
      </c>
      <c r="J2281" s="70">
        <v>0.98345588235294101</v>
      </c>
    </row>
    <row r="2282" spans="9:10" x14ac:dyDescent="0.3">
      <c r="I2282" s="72">
        <v>1140</v>
      </c>
      <c r="J2282" s="70">
        <v>0.98345588235294101</v>
      </c>
    </row>
    <row r="2283" spans="9:10" x14ac:dyDescent="0.3">
      <c r="I2283" s="72">
        <v>1140.5</v>
      </c>
      <c r="J2283" s="70">
        <v>0.98345588235294101</v>
      </c>
    </row>
    <row r="2284" spans="9:10" x14ac:dyDescent="0.3">
      <c r="I2284" s="72">
        <v>1141</v>
      </c>
      <c r="J2284" s="70">
        <v>0.98345588235294101</v>
      </c>
    </row>
    <row r="2285" spans="9:10" x14ac:dyDescent="0.3">
      <c r="I2285" s="72">
        <v>1141.5</v>
      </c>
      <c r="J2285" s="70">
        <v>0.98345588235294101</v>
      </c>
    </row>
    <row r="2286" spans="9:10" x14ac:dyDescent="0.3">
      <c r="I2286" s="72">
        <v>1142</v>
      </c>
      <c r="J2286" s="70">
        <v>0.98345588235294101</v>
      </c>
    </row>
    <row r="2287" spans="9:10" x14ac:dyDescent="0.3">
      <c r="I2287" s="72">
        <v>1142.5</v>
      </c>
      <c r="J2287" s="70">
        <v>0.98345588235294101</v>
      </c>
    </row>
    <row r="2288" spans="9:10" x14ac:dyDescent="0.3">
      <c r="I2288" s="72">
        <v>1143</v>
      </c>
      <c r="J2288" s="70">
        <v>0.98345588235294101</v>
      </c>
    </row>
    <row r="2289" spans="9:10" x14ac:dyDescent="0.3">
      <c r="I2289" s="72">
        <v>1143.5</v>
      </c>
      <c r="J2289" s="70">
        <v>0.98345588235294101</v>
      </c>
    </row>
    <row r="2290" spans="9:10" x14ac:dyDescent="0.3">
      <c r="I2290" s="72">
        <v>1144</v>
      </c>
      <c r="J2290" s="70">
        <v>0.98345588235294101</v>
      </c>
    </row>
    <row r="2291" spans="9:10" x14ac:dyDescent="0.3">
      <c r="I2291" s="72">
        <v>1144.5</v>
      </c>
      <c r="J2291" s="70">
        <v>0.98345588235294101</v>
      </c>
    </row>
    <row r="2292" spans="9:10" x14ac:dyDescent="0.3">
      <c r="I2292" s="72">
        <v>1145</v>
      </c>
      <c r="J2292" s="70">
        <v>0.98345588235294101</v>
      </c>
    </row>
    <row r="2293" spans="9:10" x14ac:dyDescent="0.3">
      <c r="I2293" s="72">
        <v>1145.5</v>
      </c>
      <c r="J2293" s="70">
        <v>0.98345588235294101</v>
      </c>
    </row>
    <row r="2294" spans="9:10" x14ac:dyDescent="0.3">
      <c r="I2294" s="72">
        <v>1146</v>
      </c>
      <c r="J2294" s="70">
        <v>0.98345588235294101</v>
      </c>
    </row>
    <row r="2295" spans="9:10" x14ac:dyDescent="0.3">
      <c r="I2295" s="72">
        <v>1146.5</v>
      </c>
      <c r="J2295" s="70">
        <v>0.98345588235294101</v>
      </c>
    </row>
    <row r="2296" spans="9:10" x14ac:dyDescent="0.3">
      <c r="I2296" s="72">
        <v>1147</v>
      </c>
      <c r="J2296" s="70">
        <v>0.98345588235294101</v>
      </c>
    </row>
    <row r="2297" spans="9:10" x14ac:dyDescent="0.3">
      <c r="I2297" s="72">
        <v>1147.5</v>
      </c>
      <c r="J2297" s="70">
        <v>0.98345588235294101</v>
      </c>
    </row>
    <row r="2298" spans="9:10" x14ac:dyDescent="0.3">
      <c r="I2298" s="72">
        <v>1148</v>
      </c>
      <c r="J2298" s="70">
        <v>0.98345588235294101</v>
      </c>
    </row>
    <row r="2299" spans="9:10" x14ac:dyDescent="0.3">
      <c r="I2299" s="72">
        <v>1148.5</v>
      </c>
      <c r="J2299" s="70">
        <v>0.98345588235294101</v>
      </c>
    </row>
    <row r="2300" spans="9:10" x14ac:dyDescent="0.3">
      <c r="I2300" s="72">
        <v>1149</v>
      </c>
      <c r="J2300" s="70">
        <v>0.98345588235294101</v>
      </c>
    </row>
    <row r="2301" spans="9:10" x14ac:dyDescent="0.3">
      <c r="I2301" s="72">
        <v>1149.5</v>
      </c>
      <c r="J2301" s="70">
        <v>0.98345588235294101</v>
      </c>
    </row>
    <row r="2302" spans="9:10" x14ac:dyDescent="0.3">
      <c r="I2302" s="72">
        <v>1150</v>
      </c>
      <c r="J2302" s="70">
        <v>0.98345588235294101</v>
      </c>
    </row>
    <row r="2303" spans="9:10" x14ac:dyDescent="0.3">
      <c r="I2303" s="72">
        <v>1150.5</v>
      </c>
      <c r="J2303" s="70">
        <v>0.98345588235294101</v>
      </c>
    </row>
    <row r="2304" spans="9:10" x14ac:dyDescent="0.3">
      <c r="I2304" s="72">
        <v>1151</v>
      </c>
      <c r="J2304" s="70">
        <v>0.98345588235294101</v>
      </c>
    </row>
    <row r="2305" spans="9:10" x14ac:dyDescent="0.3">
      <c r="I2305" s="72">
        <v>1151.5</v>
      </c>
      <c r="J2305" s="70">
        <v>0.98345588235294101</v>
      </c>
    </row>
    <row r="2306" spans="9:10" x14ac:dyDescent="0.3">
      <c r="I2306" s="72">
        <v>1152</v>
      </c>
      <c r="J2306" s="70">
        <v>0.98345588235294101</v>
      </c>
    </row>
    <row r="2307" spans="9:10" x14ac:dyDescent="0.3">
      <c r="I2307" s="72">
        <v>1152.5</v>
      </c>
      <c r="J2307" s="70">
        <v>0.98345588235294101</v>
      </c>
    </row>
    <row r="2308" spans="9:10" x14ac:dyDescent="0.3">
      <c r="I2308" s="72">
        <v>1153</v>
      </c>
      <c r="J2308" s="70">
        <v>0.98345588235294101</v>
      </c>
    </row>
    <row r="2309" spans="9:10" x14ac:dyDescent="0.3">
      <c r="I2309" s="72">
        <v>1153.5</v>
      </c>
      <c r="J2309" s="70">
        <v>0.98345588235294101</v>
      </c>
    </row>
    <row r="2310" spans="9:10" x14ac:dyDescent="0.3">
      <c r="I2310" s="72">
        <v>1154</v>
      </c>
      <c r="J2310" s="70">
        <v>0.98345588235294101</v>
      </c>
    </row>
    <row r="2311" spans="9:10" x14ac:dyDescent="0.3">
      <c r="I2311" s="72">
        <v>1154.5</v>
      </c>
      <c r="J2311" s="70">
        <v>0.98345588235294101</v>
      </c>
    </row>
    <row r="2312" spans="9:10" x14ac:dyDescent="0.3">
      <c r="I2312" s="72">
        <v>1155</v>
      </c>
      <c r="J2312" s="70">
        <v>0.98345588235294101</v>
      </c>
    </row>
    <row r="2313" spans="9:10" x14ac:dyDescent="0.3">
      <c r="I2313" s="72">
        <v>1155.5</v>
      </c>
      <c r="J2313" s="70">
        <v>0.98345588235294101</v>
      </c>
    </row>
    <row r="2314" spans="9:10" x14ac:dyDescent="0.3">
      <c r="I2314" s="72">
        <v>1156</v>
      </c>
      <c r="J2314" s="70">
        <v>0.98345588235294101</v>
      </c>
    </row>
    <row r="2315" spans="9:10" x14ac:dyDescent="0.3">
      <c r="I2315" s="72">
        <v>1156.5</v>
      </c>
      <c r="J2315" s="70">
        <v>0.98345588235294101</v>
      </c>
    </row>
    <row r="2316" spans="9:10" x14ac:dyDescent="0.3">
      <c r="I2316" s="72">
        <v>1157</v>
      </c>
      <c r="J2316" s="70">
        <v>0.98345588235294101</v>
      </c>
    </row>
    <row r="2317" spans="9:10" x14ac:dyDescent="0.3">
      <c r="I2317" s="72">
        <v>1157.5</v>
      </c>
      <c r="J2317" s="70">
        <v>0.98345588235294101</v>
      </c>
    </row>
    <row r="2318" spans="9:10" x14ac:dyDescent="0.3">
      <c r="I2318" s="72">
        <v>1158</v>
      </c>
      <c r="J2318" s="70">
        <v>0.98345588235294101</v>
      </c>
    </row>
    <row r="2319" spans="9:10" x14ac:dyDescent="0.3">
      <c r="I2319" s="72">
        <v>1158.5</v>
      </c>
      <c r="J2319" s="70">
        <v>0.98345588235294101</v>
      </c>
    </row>
    <row r="2320" spans="9:10" x14ac:dyDescent="0.3">
      <c r="I2320" s="72">
        <v>1159</v>
      </c>
      <c r="J2320" s="70">
        <v>0.98345588235294101</v>
      </c>
    </row>
    <row r="2321" spans="9:10" x14ac:dyDescent="0.3">
      <c r="I2321" s="72">
        <v>1159.5</v>
      </c>
      <c r="J2321" s="70">
        <v>0.98345588235294101</v>
      </c>
    </row>
    <row r="2322" spans="9:10" x14ac:dyDescent="0.3">
      <c r="I2322" s="72">
        <v>1160</v>
      </c>
      <c r="J2322" s="70">
        <v>0.98345588235294101</v>
      </c>
    </row>
    <row r="2323" spans="9:10" x14ac:dyDescent="0.3">
      <c r="I2323" s="72">
        <v>1160.5</v>
      </c>
      <c r="J2323" s="70">
        <v>0.98345588235294101</v>
      </c>
    </row>
    <row r="2324" spans="9:10" x14ac:dyDescent="0.3">
      <c r="I2324" s="72">
        <v>1161</v>
      </c>
      <c r="J2324" s="70">
        <v>0.98345588235294101</v>
      </c>
    </row>
    <row r="2325" spans="9:10" x14ac:dyDescent="0.3">
      <c r="I2325" s="72">
        <v>1161.5</v>
      </c>
      <c r="J2325" s="70">
        <v>0.98345588235294101</v>
      </c>
    </row>
    <row r="2326" spans="9:10" x14ac:dyDescent="0.3">
      <c r="I2326" s="72">
        <v>1162</v>
      </c>
      <c r="J2326" s="70">
        <v>0.98345588235294101</v>
      </c>
    </row>
    <row r="2327" spans="9:10" x14ac:dyDescent="0.3">
      <c r="I2327" s="72">
        <v>1162.5</v>
      </c>
      <c r="J2327" s="70">
        <v>0.98345588235294101</v>
      </c>
    </row>
    <row r="2328" spans="9:10" x14ac:dyDescent="0.3">
      <c r="I2328" s="72">
        <v>1163</v>
      </c>
      <c r="J2328" s="70">
        <v>0.98345588235294101</v>
      </c>
    </row>
    <row r="2329" spans="9:10" x14ac:dyDescent="0.3">
      <c r="I2329" s="72">
        <v>1163.5</v>
      </c>
      <c r="J2329" s="70">
        <v>0.98345588235294101</v>
      </c>
    </row>
    <row r="2330" spans="9:10" x14ac:dyDescent="0.3">
      <c r="I2330" s="72">
        <v>1164</v>
      </c>
      <c r="J2330" s="70">
        <v>0.98345588235294101</v>
      </c>
    </row>
    <row r="2331" spans="9:10" x14ac:dyDescent="0.3">
      <c r="I2331" s="72">
        <v>1164.5</v>
      </c>
      <c r="J2331" s="70">
        <v>0.98345588235294101</v>
      </c>
    </row>
    <row r="2332" spans="9:10" x14ac:dyDescent="0.3">
      <c r="I2332" s="72">
        <v>1165</v>
      </c>
      <c r="J2332" s="70">
        <v>0.98345588235294101</v>
      </c>
    </row>
    <row r="2333" spans="9:10" x14ac:dyDescent="0.3">
      <c r="I2333" s="72">
        <v>1165.5</v>
      </c>
      <c r="J2333" s="70">
        <v>0.98345588235294101</v>
      </c>
    </row>
    <row r="2334" spans="9:10" x14ac:dyDescent="0.3">
      <c r="I2334" s="72">
        <v>1166</v>
      </c>
      <c r="J2334" s="70">
        <v>0.98345588235294101</v>
      </c>
    </row>
    <row r="2335" spans="9:10" x14ac:dyDescent="0.3">
      <c r="I2335" s="72">
        <v>1166.5</v>
      </c>
      <c r="J2335" s="70">
        <v>0.98345588235294101</v>
      </c>
    </row>
    <row r="2336" spans="9:10" x14ac:dyDescent="0.3">
      <c r="I2336" s="72">
        <v>1167</v>
      </c>
      <c r="J2336" s="70">
        <v>0.98345588235294101</v>
      </c>
    </row>
    <row r="2337" spans="9:10" x14ac:dyDescent="0.3">
      <c r="I2337" s="72">
        <v>1167.5</v>
      </c>
      <c r="J2337" s="70">
        <v>0.98345588235294101</v>
      </c>
    </row>
    <row r="2338" spans="9:10" x14ac:dyDescent="0.3">
      <c r="I2338" s="72">
        <v>1168</v>
      </c>
      <c r="J2338" s="70">
        <v>0.98345588235294101</v>
      </c>
    </row>
    <row r="2339" spans="9:10" x14ac:dyDescent="0.3">
      <c r="I2339" s="72">
        <v>1168.5</v>
      </c>
      <c r="J2339" s="70">
        <v>0.98345588235294101</v>
      </c>
    </row>
    <row r="2340" spans="9:10" x14ac:dyDescent="0.3">
      <c r="I2340" s="72">
        <v>1169</v>
      </c>
      <c r="J2340" s="70">
        <v>0.98345588235294101</v>
      </c>
    </row>
    <row r="2341" spans="9:10" x14ac:dyDescent="0.3">
      <c r="I2341" s="72">
        <v>1169.5</v>
      </c>
      <c r="J2341" s="70">
        <v>0.98345588235294101</v>
      </c>
    </row>
    <row r="2342" spans="9:10" x14ac:dyDescent="0.3">
      <c r="I2342" s="72">
        <v>1170</v>
      </c>
      <c r="J2342" s="70">
        <v>0.98345588235294101</v>
      </c>
    </row>
    <row r="2343" spans="9:10" x14ac:dyDescent="0.3">
      <c r="I2343" s="72">
        <v>1170.5</v>
      </c>
      <c r="J2343" s="70">
        <v>0.98345588235294101</v>
      </c>
    </row>
    <row r="2344" spans="9:10" x14ac:dyDescent="0.3">
      <c r="I2344" s="72">
        <v>1171</v>
      </c>
      <c r="J2344" s="70">
        <v>0.98345588235294101</v>
      </c>
    </row>
    <row r="2345" spans="9:10" x14ac:dyDescent="0.3">
      <c r="I2345" s="72">
        <v>1171.5</v>
      </c>
      <c r="J2345" s="70">
        <v>0.98345588235294101</v>
      </c>
    </row>
    <row r="2346" spans="9:10" x14ac:dyDescent="0.3">
      <c r="I2346" s="72">
        <v>1172</v>
      </c>
      <c r="J2346" s="70">
        <v>0.98529411764705865</v>
      </c>
    </row>
    <row r="2347" spans="9:10" x14ac:dyDescent="0.3">
      <c r="I2347" s="72">
        <v>1172.5</v>
      </c>
      <c r="J2347" s="70">
        <v>0.98529411764705865</v>
      </c>
    </row>
    <row r="2348" spans="9:10" x14ac:dyDescent="0.3">
      <c r="I2348" s="72">
        <v>1173</v>
      </c>
      <c r="J2348" s="70">
        <v>0.98529411764705865</v>
      </c>
    </row>
    <row r="2349" spans="9:10" x14ac:dyDescent="0.3">
      <c r="I2349" s="72">
        <v>1173.5</v>
      </c>
      <c r="J2349" s="70">
        <v>0.98529411764705865</v>
      </c>
    </row>
    <row r="2350" spans="9:10" x14ac:dyDescent="0.3">
      <c r="I2350" s="72">
        <v>1174</v>
      </c>
      <c r="J2350" s="70">
        <v>0.98529411764705865</v>
      </c>
    </row>
    <row r="2351" spans="9:10" x14ac:dyDescent="0.3">
      <c r="I2351" s="72">
        <v>1174.5</v>
      </c>
      <c r="J2351" s="70">
        <v>0.98529411764705865</v>
      </c>
    </row>
    <row r="2352" spans="9:10" x14ac:dyDescent="0.3">
      <c r="I2352" s="72">
        <v>1175</v>
      </c>
      <c r="J2352" s="70">
        <v>0.98529411764705865</v>
      </c>
    </row>
    <row r="2353" spans="9:10" x14ac:dyDescent="0.3">
      <c r="I2353" s="72">
        <v>1175.5</v>
      </c>
      <c r="J2353" s="70">
        <v>0.98529411764705865</v>
      </c>
    </row>
    <row r="2354" spans="9:10" x14ac:dyDescent="0.3">
      <c r="I2354" s="72">
        <v>1176</v>
      </c>
      <c r="J2354" s="70">
        <v>0.98529411764705865</v>
      </c>
    </row>
    <row r="2355" spans="9:10" x14ac:dyDescent="0.3">
      <c r="I2355" s="72">
        <v>1176.5</v>
      </c>
      <c r="J2355" s="70">
        <v>0.98529411764705865</v>
      </c>
    </row>
    <row r="2356" spans="9:10" x14ac:dyDescent="0.3">
      <c r="I2356" s="72">
        <v>1177</v>
      </c>
      <c r="J2356" s="70">
        <v>0.98529411764705865</v>
      </c>
    </row>
    <row r="2357" spans="9:10" x14ac:dyDescent="0.3">
      <c r="I2357" s="72">
        <v>1177.5</v>
      </c>
      <c r="J2357" s="70">
        <v>0.98529411764705865</v>
      </c>
    </row>
    <row r="2358" spans="9:10" x14ac:dyDescent="0.3">
      <c r="I2358" s="72">
        <v>1178</v>
      </c>
      <c r="J2358" s="70">
        <v>0.98529411764705865</v>
      </c>
    </row>
    <row r="2359" spans="9:10" x14ac:dyDescent="0.3">
      <c r="I2359" s="72">
        <v>1178.5</v>
      </c>
      <c r="J2359" s="70">
        <v>0.98529411764705865</v>
      </c>
    </row>
    <row r="2360" spans="9:10" x14ac:dyDescent="0.3">
      <c r="I2360" s="72">
        <v>1179</v>
      </c>
      <c r="J2360" s="70">
        <v>0.98529411764705865</v>
      </c>
    </row>
    <row r="2361" spans="9:10" x14ac:dyDescent="0.3">
      <c r="I2361" s="72">
        <v>1179.5</v>
      </c>
      <c r="J2361" s="70">
        <v>0.98529411764705865</v>
      </c>
    </row>
    <row r="2362" spans="9:10" x14ac:dyDescent="0.3">
      <c r="I2362" s="72">
        <v>1180</v>
      </c>
      <c r="J2362" s="70">
        <v>0.98529411764705865</v>
      </c>
    </row>
    <row r="2363" spans="9:10" x14ac:dyDescent="0.3">
      <c r="I2363" s="72">
        <v>1180.5</v>
      </c>
      <c r="J2363" s="70">
        <v>0.98529411764705865</v>
      </c>
    </row>
    <row r="2364" spans="9:10" x14ac:dyDescent="0.3">
      <c r="I2364" s="72">
        <v>1181</v>
      </c>
      <c r="J2364" s="70">
        <v>0.98529411764705865</v>
      </c>
    </row>
    <row r="2365" spans="9:10" x14ac:dyDescent="0.3">
      <c r="I2365" s="72">
        <v>1181.5</v>
      </c>
      <c r="J2365" s="70">
        <v>0.98529411764705865</v>
      </c>
    </row>
    <row r="2366" spans="9:10" x14ac:dyDescent="0.3">
      <c r="I2366" s="72">
        <v>1182</v>
      </c>
      <c r="J2366" s="70">
        <v>0.98529411764705865</v>
      </c>
    </row>
    <row r="2367" spans="9:10" x14ac:dyDescent="0.3">
      <c r="I2367" s="72">
        <v>1182.5</v>
      </c>
      <c r="J2367" s="70">
        <v>0.98529411764705865</v>
      </c>
    </row>
    <row r="2368" spans="9:10" x14ac:dyDescent="0.3">
      <c r="I2368" s="72">
        <v>1183</v>
      </c>
      <c r="J2368" s="70">
        <v>0.98529411764705865</v>
      </c>
    </row>
    <row r="2369" spans="9:10" x14ac:dyDescent="0.3">
      <c r="I2369" s="72">
        <v>1183.5</v>
      </c>
      <c r="J2369" s="70">
        <v>0.98529411764705865</v>
      </c>
    </row>
    <row r="2370" spans="9:10" x14ac:dyDescent="0.3">
      <c r="I2370" s="72">
        <v>1184</v>
      </c>
      <c r="J2370" s="70">
        <v>0.98529411764705865</v>
      </c>
    </row>
    <row r="2371" spans="9:10" x14ac:dyDescent="0.3">
      <c r="I2371" s="72">
        <v>1184.5</v>
      </c>
      <c r="J2371" s="70">
        <v>0.98529411764705865</v>
      </c>
    </row>
    <row r="2372" spans="9:10" x14ac:dyDescent="0.3">
      <c r="I2372" s="72">
        <v>1185</v>
      </c>
      <c r="J2372" s="70">
        <v>0.98529411764705865</v>
      </c>
    </row>
    <row r="2373" spans="9:10" x14ac:dyDescent="0.3">
      <c r="I2373" s="72">
        <v>1185.5</v>
      </c>
      <c r="J2373" s="70">
        <v>0.98529411764705865</v>
      </c>
    </row>
    <row r="2374" spans="9:10" x14ac:dyDescent="0.3">
      <c r="I2374" s="72">
        <v>1186</v>
      </c>
      <c r="J2374" s="70">
        <v>0.98529411764705865</v>
      </c>
    </row>
    <row r="2375" spans="9:10" x14ac:dyDescent="0.3">
      <c r="I2375" s="72">
        <v>1186.5</v>
      </c>
      <c r="J2375" s="70">
        <v>0.98529411764705865</v>
      </c>
    </row>
    <row r="2376" spans="9:10" x14ac:dyDescent="0.3">
      <c r="I2376" s="72">
        <v>1187</v>
      </c>
      <c r="J2376" s="70">
        <v>0.98529411764705865</v>
      </c>
    </row>
    <row r="2377" spans="9:10" x14ac:dyDescent="0.3">
      <c r="I2377" s="72">
        <v>1187.5</v>
      </c>
      <c r="J2377" s="70">
        <v>0.98529411764705865</v>
      </c>
    </row>
    <row r="2378" spans="9:10" x14ac:dyDescent="0.3">
      <c r="I2378" s="72">
        <v>1188</v>
      </c>
      <c r="J2378" s="70">
        <v>0.98529411764705865</v>
      </c>
    </row>
    <row r="2379" spans="9:10" x14ac:dyDescent="0.3">
      <c r="I2379" s="72">
        <v>1188.5</v>
      </c>
      <c r="J2379" s="70">
        <v>0.98529411764705865</v>
      </c>
    </row>
    <row r="2380" spans="9:10" x14ac:dyDescent="0.3">
      <c r="I2380" s="72">
        <v>1189</v>
      </c>
      <c r="J2380" s="70">
        <v>0.98529411764705865</v>
      </c>
    </row>
    <row r="2381" spans="9:10" x14ac:dyDescent="0.3">
      <c r="I2381" s="72">
        <v>1189.5</v>
      </c>
      <c r="J2381" s="70">
        <v>0.98529411764705865</v>
      </c>
    </row>
    <row r="2382" spans="9:10" x14ac:dyDescent="0.3">
      <c r="I2382" s="72">
        <v>1190</v>
      </c>
      <c r="J2382" s="70">
        <v>0.98529411764705865</v>
      </c>
    </row>
    <row r="2383" spans="9:10" x14ac:dyDescent="0.3">
      <c r="I2383" s="72">
        <v>1190.5</v>
      </c>
      <c r="J2383" s="70">
        <v>0.98529411764705865</v>
      </c>
    </row>
    <row r="2384" spans="9:10" x14ac:dyDescent="0.3">
      <c r="I2384" s="72">
        <v>1191</v>
      </c>
      <c r="J2384" s="70">
        <v>0.98529411764705865</v>
      </c>
    </row>
    <row r="2385" spans="9:10" x14ac:dyDescent="0.3">
      <c r="I2385" s="72">
        <v>1191.5</v>
      </c>
      <c r="J2385" s="70">
        <v>0.98529411764705865</v>
      </c>
    </row>
    <row r="2386" spans="9:10" x14ac:dyDescent="0.3">
      <c r="I2386" s="72">
        <v>1192</v>
      </c>
      <c r="J2386" s="70">
        <v>0.98529411764705865</v>
      </c>
    </row>
    <row r="2387" spans="9:10" x14ac:dyDescent="0.3">
      <c r="I2387" s="72">
        <v>1192.5</v>
      </c>
      <c r="J2387" s="70">
        <v>0.98529411764705865</v>
      </c>
    </row>
    <row r="2388" spans="9:10" x14ac:dyDescent="0.3">
      <c r="I2388" s="72">
        <v>1193</v>
      </c>
      <c r="J2388" s="70">
        <v>0.98529411764705865</v>
      </c>
    </row>
    <row r="2389" spans="9:10" x14ac:dyDescent="0.3">
      <c r="I2389" s="72">
        <v>1193.5</v>
      </c>
      <c r="J2389" s="70">
        <v>0.98529411764705865</v>
      </c>
    </row>
    <row r="2390" spans="9:10" x14ac:dyDescent="0.3">
      <c r="I2390" s="72">
        <v>1194</v>
      </c>
      <c r="J2390" s="70">
        <v>0.98529411764705865</v>
      </c>
    </row>
    <row r="2391" spans="9:10" x14ac:dyDescent="0.3">
      <c r="I2391" s="72">
        <v>1194.5</v>
      </c>
      <c r="J2391" s="70">
        <v>0.98529411764705865</v>
      </c>
    </row>
    <row r="2392" spans="9:10" x14ac:dyDescent="0.3">
      <c r="I2392" s="72">
        <v>1195</v>
      </c>
      <c r="J2392" s="70">
        <v>0.98529411764705865</v>
      </c>
    </row>
    <row r="2393" spans="9:10" x14ac:dyDescent="0.3">
      <c r="I2393" s="72">
        <v>1195.5</v>
      </c>
      <c r="J2393" s="70">
        <v>0.98529411764705865</v>
      </c>
    </row>
    <row r="2394" spans="9:10" x14ac:dyDescent="0.3">
      <c r="I2394" s="72">
        <v>1196</v>
      </c>
      <c r="J2394" s="70">
        <v>0.98529411764705865</v>
      </c>
    </row>
    <row r="2395" spans="9:10" x14ac:dyDescent="0.3">
      <c r="I2395" s="72">
        <v>1196.5</v>
      </c>
      <c r="J2395" s="70">
        <v>0.98529411764705865</v>
      </c>
    </row>
    <row r="2396" spans="9:10" x14ac:dyDescent="0.3">
      <c r="I2396" s="72">
        <v>1197</v>
      </c>
      <c r="J2396" s="70">
        <v>0.98529411764705865</v>
      </c>
    </row>
    <row r="2397" spans="9:10" x14ac:dyDescent="0.3">
      <c r="I2397" s="72">
        <v>1197.5</v>
      </c>
      <c r="J2397" s="70">
        <v>0.98529411764705865</v>
      </c>
    </row>
    <row r="2398" spans="9:10" x14ac:dyDescent="0.3">
      <c r="I2398" s="72">
        <v>1198</v>
      </c>
      <c r="J2398" s="70">
        <v>0.98529411764705865</v>
      </c>
    </row>
    <row r="2399" spans="9:10" x14ac:dyDescent="0.3">
      <c r="I2399" s="72">
        <v>1198.5</v>
      </c>
      <c r="J2399" s="70">
        <v>0.98529411764705865</v>
      </c>
    </row>
    <row r="2400" spans="9:10" x14ac:dyDescent="0.3">
      <c r="I2400" s="72">
        <v>1199</v>
      </c>
      <c r="J2400" s="70">
        <v>0.98529411764705865</v>
      </c>
    </row>
    <row r="2401" spans="9:10" x14ac:dyDescent="0.3">
      <c r="I2401" s="72">
        <v>1199.5</v>
      </c>
      <c r="J2401" s="70">
        <v>0.98529411764705865</v>
      </c>
    </row>
    <row r="2402" spans="9:10" x14ac:dyDescent="0.3">
      <c r="I2402" s="72">
        <v>1200</v>
      </c>
      <c r="J2402" s="70">
        <v>0.98529411764705865</v>
      </c>
    </row>
    <row r="2403" spans="9:10" x14ac:dyDescent="0.3">
      <c r="I2403" s="72">
        <v>1200.5</v>
      </c>
      <c r="J2403" s="70">
        <v>0.98529411764705865</v>
      </c>
    </row>
    <row r="2404" spans="9:10" x14ac:dyDescent="0.3">
      <c r="I2404" s="72">
        <v>1201</v>
      </c>
      <c r="J2404" s="70">
        <v>0.98529411764705865</v>
      </c>
    </row>
    <row r="2405" spans="9:10" x14ac:dyDescent="0.3">
      <c r="I2405" s="72">
        <v>1201.5</v>
      </c>
      <c r="J2405" s="70">
        <v>0.98529411764705865</v>
      </c>
    </row>
    <row r="2406" spans="9:10" x14ac:dyDescent="0.3">
      <c r="I2406" s="72">
        <v>1202</v>
      </c>
      <c r="J2406" s="70">
        <v>0.98529411764705865</v>
      </c>
    </row>
    <row r="2407" spans="9:10" x14ac:dyDescent="0.3">
      <c r="I2407" s="72">
        <v>1202.5</v>
      </c>
      <c r="J2407" s="70">
        <v>0.98529411764705865</v>
      </c>
    </row>
    <row r="2408" spans="9:10" x14ac:dyDescent="0.3">
      <c r="I2408" s="72">
        <v>1203</v>
      </c>
      <c r="J2408" s="70">
        <v>0.98529411764705865</v>
      </c>
    </row>
    <row r="2409" spans="9:10" x14ac:dyDescent="0.3">
      <c r="I2409" s="72">
        <v>1203.5</v>
      </c>
      <c r="J2409" s="70">
        <v>0.98529411764705865</v>
      </c>
    </row>
    <row r="2410" spans="9:10" x14ac:dyDescent="0.3">
      <c r="I2410" s="72">
        <v>1204</v>
      </c>
      <c r="J2410" s="70">
        <v>0.98529411764705865</v>
      </c>
    </row>
    <row r="2411" spans="9:10" x14ac:dyDescent="0.3">
      <c r="I2411" s="72">
        <v>1204.5</v>
      </c>
      <c r="J2411" s="70">
        <v>0.98529411764705865</v>
      </c>
    </row>
    <row r="2412" spans="9:10" x14ac:dyDescent="0.3">
      <c r="I2412" s="72">
        <v>1205</v>
      </c>
      <c r="J2412" s="70">
        <v>0.98529411764705865</v>
      </c>
    </row>
    <row r="2413" spans="9:10" x14ac:dyDescent="0.3">
      <c r="I2413" s="72">
        <v>1205.5</v>
      </c>
      <c r="J2413" s="70">
        <v>0.98529411764705865</v>
      </c>
    </row>
    <row r="2414" spans="9:10" x14ac:dyDescent="0.3">
      <c r="I2414" s="72">
        <v>1206</v>
      </c>
      <c r="J2414" s="70">
        <v>0.98529411764705865</v>
      </c>
    </row>
    <row r="2415" spans="9:10" x14ac:dyDescent="0.3">
      <c r="I2415" s="72">
        <v>1206.5</v>
      </c>
      <c r="J2415" s="70">
        <v>0.98529411764705865</v>
      </c>
    </row>
    <row r="2416" spans="9:10" x14ac:dyDescent="0.3">
      <c r="I2416" s="72">
        <v>1207</v>
      </c>
      <c r="J2416" s="70">
        <v>0.98529411764705865</v>
      </c>
    </row>
    <row r="2417" spans="9:10" x14ac:dyDescent="0.3">
      <c r="I2417" s="72">
        <v>1207.5</v>
      </c>
      <c r="J2417" s="70">
        <v>0.98529411764705865</v>
      </c>
    </row>
    <row r="2418" spans="9:10" x14ac:dyDescent="0.3">
      <c r="I2418" s="72">
        <v>1208</v>
      </c>
      <c r="J2418" s="70">
        <v>0.98529411764705865</v>
      </c>
    </row>
    <row r="2419" spans="9:10" x14ac:dyDescent="0.3">
      <c r="I2419" s="72">
        <v>1208.5</v>
      </c>
      <c r="J2419" s="70">
        <v>0.98529411764705865</v>
      </c>
    </row>
    <row r="2420" spans="9:10" x14ac:dyDescent="0.3">
      <c r="I2420" s="72">
        <v>1209</v>
      </c>
      <c r="J2420" s="70">
        <v>0.98529411764705865</v>
      </c>
    </row>
    <row r="2421" spans="9:10" x14ac:dyDescent="0.3">
      <c r="I2421" s="72">
        <v>1209.5</v>
      </c>
      <c r="J2421" s="70">
        <v>0.98529411764705865</v>
      </c>
    </row>
    <row r="2422" spans="9:10" x14ac:dyDescent="0.3">
      <c r="I2422" s="72">
        <v>1210</v>
      </c>
      <c r="J2422" s="70">
        <v>0.98529411764705865</v>
      </c>
    </row>
    <row r="2423" spans="9:10" x14ac:dyDescent="0.3">
      <c r="I2423" s="72">
        <v>1210.5</v>
      </c>
      <c r="J2423" s="70">
        <v>0.98529411764705865</v>
      </c>
    </row>
    <row r="2424" spans="9:10" x14ac:dyDescent="0.3">
      <c r="I2424" s="72">
        <v>1211</v>
      </c>
      <c r="J2424" s="70">
        <v>0.98529411764705865</v>
      </c>
    </row>
    <row r="2425" spans="9:10" x14ac:dyDescent="0.3">
      <c r="I2425" s="72">
        <v>1211.5</v>
      </c>
      <c r="J2425" s="70">
        <v>0.98529411764705865</v>
      </c>
    </row>
    <row r="2426" spans="9:10" x14ac:dyDescent="0.3">
      <c r="I2426" s="72">
        <v>1212</v>
      </c>
      <c r="J2426" s="70">
        <v>0.98529411764705865</v>
      </c>
    </row>
    <row r="2427" spans="9:10" x14ac:dyDescent="0.3">
      <c r="I2427" s="72">
        <v>1212.5</v>
      </c>
      <c r="J2427" s="70">
        <v>0.98529411764705865</v>
      </c>
    </row>
    <row r="2428" spans="9:10" x14ac:dyDescent="0.3">
      <c r="I2428" s="72">
        <v>1213</v>
      </c>
      <c r="J2428" s="70">
        <v>0.98529411764705865</v>
      </c>
    </row>
    <row r="2429" spans="9:10" x14ac:dyDescent="0.3">
      <c r="I2429" s="72">
        <v>1213.5</v>
      </c>
      <c r="J2429" s="70">
        <v>0.98529411764705865</v>
      </c>
    </row>
    <row r="2430" spans="9:10" x14ac:dyDescent="0.3">
      <c r="I2430" s="72">
        <v>1214</v>
      </c>
      <c r="J2430" s="70">
        <v>0.98529411764705865</v>
      </c>
    </row>
    <row r="2431" spans="9:10" x14ac:dyDescent="0.3">
      <c r="I2431" s="72">
        <v>1214.5</v>
      </c>
      <c r="J2431" s="70">
        <v>0.98529411764705865</v>
      </c>
    </row>
    <row r="2432" spans="9:10" x14ac:dyDescent="0.3">
      <c r="I2432" s="72">
        <v>1215</v>
      </c>
      <c r="J2432" s="70">
        <v>0.98529411764705865</v>
      </c>
    </row>
    <row r="2433" spans="9:10" x14ac:dyDescent="0.3">
      <c r="I2433" s="72">
        <v>1215.5</v>
      </c>
      <c r="J2433" s="70">
        <v>0.98529411764705865</v>
      </c>
    </row>
    <row r="2434" spans="9:10" x14ac:dyDescent="0.3">
      <c r="I2434" s="72">
        <v>1216</v>
      </c>
      <c r="J2434" s="70">
        <v>0.98529411764705865</v>
      </c>
    </row>
    <row r="2435" spans="9:10" x14ac:dyDescent="0.3">
      <c r="I2435" s="72">
        <v>1216.5</v>
      </c>
      <c r="J2435" s="70">
        <v>0.98529411764705865</v>
      </c>
    </row>
    <row r="2436" spans="9:10" x14ac:dyDescent="0.3">
      <c r="I2436" s="72">
        <v>1217</v>
      </c>
      <c r="J2436" s="70">
        <v>0.98529411764705865</v>
      </c>
    </row>
    <row r="2437" spans="9:10" x14ac:dyDescent="0.3">
      <c r="I2437" s="72">
        <v>1217.5</v>
      </c>
      <c r="J2437" s="70">
        <v>0.98529411764705865</v>
      </c>
    </row>
    <row r="2438" spans="9:10" x14ac:dyDescent="0.3">
      <c r="I2438" s="72">
        <v>1218</v>
      </c>
      <c r="J2438" s="70">
        <v>0.98529411764705865</v>
      </c>
    </row>
    <row r="2439" spans="9:10" x14ac:dyDescent="0.3">
      <c r="I2439" s="72">
        <v>1218.5</v>
      </c>
      <c r="J2439" s="70">
        <v>0.98529411764705865</v>
      </c>
    </row>
    <row r="2440" spans="9:10" x14ac:dyDescent="0.3">
      <c r="I2440" s="72">
        <v>1219</v>
      </c>
      <c r="J2440" s="70">
        <v>0.98529411764705865</v>
      </c>
    </row>
    <row r="2441" spans="9:10" x14ac:dyDescent="0.3">
      <c r="I2441" s="72">
        <v>1219.5</v>
      </c>
      <c r="J2441" s="70">
        <v>0.98529411764705865</v>
      </c>
    </row>
    <row r="2442" spans="9:10" x14ac:dyDescent="0.3">
      <c r="I2442" s="72">
        <v>1220</v>
      </c>
      <c r="J2442" s="70">
        <v>0.98529411764705865</v>
      </c>
    </row>
    <row r="2443" spans="9:10" x14ac:dyDescent="0.3">
      <c r="I2443" s="72">
        <v>1220.5</v>
      </c>
      <c r="J2443" s="70">
        <v>0.98529411764705865</v>
      </c>
    </row>
    <row r="2444" spans="9:10" x14ac:dyDescent="0.3">
      <c r="I2444" s="72">
        <v>1221</v>
      </c>
      <c r="J2444" s="70">
        <v>0.98529411764705865</v>
      </c>
    </row>
    <row r="2445" spans="9:10" x14ac:dyDescent="0.3">
      <c r="I2445" s="72">
        <v>1221.5</v>
      </c>
      <c r="J2445" s="70">
        <v>0.98529411764705865</v>
      </c>
    </row>
    <row r="2446" spans="9:10" x14ac:dyDescent="0.3">
      <c r="I2446" s="72">
        <v>1222</v>
      </c>
      <c r="J2446" s="70">
        <v>0.98529411764705865</v>
      </c>
    </row>
    <row r="2447" spans="9:10" x14ac:dyDescent="0.3">
      <c r="I2447" s="72">
        <v>1222.5</v>
      </c>
      <c r="J2447" s="70">
        <v>0.98529411764705865</v>
      </c>
    </row>
    <row r="2448" spans="9:10" x14ac:dyDescent="0.3">
      <c r="I2448" s="72">
        <v>1223</v>
      </c>
      <c r="J2448" s="70">
        <v>0.98529411764705865</v>
      </c>
    </row>
    <row r="2449" spans="9:10" x14ac:dyDescent="0.3">
      <c r="I2449" s="72">
        <v>1223.5</v>
      </c>
      <c r="J2449" s="70">
        <v>0.98529411764705865</v>
      </c>
    </row>
    <row r="2450" spans="9:10" x14ac:dyDescent="0.3">
      <c r="I2450" s="72">
        <v>1224</v>
      </c>
      <c r="J2450" s="70">
        <v>0.98529411764705865</v>
      </c>
    </row>
    <row r="2451" spans="9:10" x14ac:dyDescent="0.3">
      <c r="I2451" s="72">
        <v>1224.5</v>
      </c>
      <c r="J2451" s="70">
        <v>0.98529411764705865</v>
      </c>
    </row>
    <row r="2452" spans="9:10" x14ac:dyDescent="0.3">
      <c r="I2452" s="72">
        <v>1225</v>
      </c>
      <c r="J2452" s="70">
        <v>0.98529411764705865</v>
      </c>
    </row>
    <row r="2453" spans="9:10" x14ac:dyDescent="0.3">
      <c r="I2453" s="72">
        <v>1225.5</v>
      </c>
      <c r="J2453" s="70">
        <v>0.98529411764705865</v>
      </c>
    </row>
    <row r="2454" spans="9:10" x14ac:dyDescent="0.3">
      <c r="I2454" s="72">
        <v>1226</v>
      </c>
      <c r="J2454" s="70">
        <v>0.98529411764705865</v>
      </c>
    </row>
    <row r="2455" spans="9:10" x14ac:dyDescent="0.3">
      <c r="I2455" s="72">
        <v>1226.5</v>
      </c>
      <c r="J2455" s="70">
        <v>0.98529411764705865</v>
      </c>
    </row>
    <row r="2456" spans="9:10" x14ac:dyDescent="0.3">
      <c r="I2456" s="72">
        <v>1227</v>
      </c>
      <c r="J2456" s="70">
        <v>0.98529411764705865</v>
      </c>
    </row>
    <row r="2457" spans="9:10" x14ac:dyDescent="0.3">
      <c r="I2457" s="72">
        <v>1227.5</v>
      </c>
      <c r="J2457" s="70">
        <v>0.98529411764705865</v>
      </c>
    </row>
    <row r="2458" spans="9:10" x14ac:dyDescent="0.3">
      <c r="I2458" s="72">
        <v>1228</v>
      </c>
      <c r="J2458" s="70">
        <v>0.98529411764705865</v>
      </c>
    </row>
    <row r="2459" spans="9:10" x14ac:dyDescent="0.3">
      <c r="I2459" s="72">
        <v>1228.5</v>
      </c>
      <c r="J2459" s="70">
        <v>0.98529411764705865</v>
      </c>
    </row>
    <row r="2460" spans="9:10" x14ac:dyDescent="0.3">
      <c r="I2460" s="72">
        <v>1229</v>
      </c>
      <c r="J2460" s="70">
        <v>0.98529411764705865</v>
      </c>
    </row>
    <row r="2461" spans="9:10" x14ac:dyDescent="0.3">
      <c r="I2461" s="72">
        <v>1229.5</v>
      </c>
      <c r="J2461" s="70">
        <v>0.98529411764705865</v>
      </c>
    </row>
    <row r="2462" spans="9:10" x14ac:dyDescent="0.3">
      <c r="I2462" s="72">
        <v>1230</v>
      </c>
      <c r="J2462" s="70">
        <v>0.98529411764705865</v>
      </c>
    </row>
    <row r="2463" spans="9:10" x14ac:dyDescent="0.3">
      <c r="I2463" s="72">
        <v>1230.5</v>
      </c>
      <c r="J2463" s="70">
        <v>0.98529411764705865</v>
      </c>
    </row>
    <row r="2464" spans="9:10" x14ac:dyDescent="0.3">
      <c r="I2464" s="72">
        <v>1231</v>
      </c>
      <c r="J2464" s="70">
        <v>0.98529411764705865</v>
      </c>
    </row>
    <row r="2465" spans="9:10" x14ac:dyDescent="0.3">
      <c r="I2465" s="72">
        <v>1231.5</v>
      </c>
      <c r="J2465" s="70">
        <v>0.98529411764705865</v>
      </c>
    </row>
    <row r="2466" spans="9:10" x14ac:dyDescent="0.3">
      <c r="I2466" s="72">
        <v>1232</v>
      </c>
      <c r="J2466" s="70">
        <v>0.98529411764705865</v>
      </c>
    </row>
    <row r="2467" spans="9:10" x14ac:dyDescent="0.3">
      <c r="I2467" s="72">
        <v>1232.5</v>
      </c>
      <c r="J2467" s="70">
        <v>0.98529411764705865</v>
      </c>
    </row>
    <row r="2468" spans="9:10" x14ac:dyDescent="0.3">
      <c r="I2468" s="72">
        <v>1233</v>
      </c>
      <c r="J2468" s="70">
        <v>0.98529411764705865</v>
      </c>
    </row>
    <row r="2469" spans="9:10" x14ac:dyDescent="0.3">
      <c r="I2469" s="72">
        <v>1233.5</v>
      </c>
      <c r="J2469" s="70">
        <v>0.98529411764705865</v>
      </c>
    </row>
    <row r="2470" spans="9:10" x14ac:dyDescent="0.3">
      <c r="I2470" s="72">
        <v>1234</v>
      </c>
      <c r="J2470" s="70">
        <v>0.98529411764705865</v>
      </c>
    </row>
    <row r="2471" spans="9:10" x14ac:dyDescent="0.3">
      <c r="I2471" s="72">
        <v>1234.5</v>
      </c>
      <c r="J2471" s="70">
        <v>0.98529411764705865</v>
      </c>
    </row>
    <row r="2472" spans="9:10" x14ac:dyDescent="0.3">
      <c r="I2472" s="72">
        <v>1235</v>
      </c>
      <c r="J2472" s="70">
        <v>0.98529411764705865</v>
      </c>
    </row>
    <row r="2473" spans="9:10" x14ac:dyDescent="0.3">
      <c r="I2473" s="72">
        <v>1235.5</v>
      </c>
      <c r="J2473" s="70">
        <v>0.98529411764705865</v>
      </c>
    </row>
    <row r="2474" spans="9:10" x14ac:dyDescent="0.3">
      <c r="I2474" s="72">
        <v>1236</v>
      </c>
      <c r="J2474" s="70">
        <v>0.98529411764705865</v>
      </c>
    </row>
    <row r="2475" spans="9:10" x14ac:dyDescent="0.3">
      <c r="I2475" s="72">
        <v>1236.5</v>
      </c>
      <c r="J2475" s="70">
        <v>0.98529411764705865</v>
      </c>
    </row>
    <row r="2476" spans="9:10" x14ac:dyDescent="0.3">
      <c r="I2476" s="72">
        <v>1237</v>
      </c>
      <c r="J2476" s="70">
        <v>0.98529411764705865</v>
      </c>
    </row>
    <row r="2477" spans="9:10" x14ac:dyDescent="0.3">
      <c r="I2477" s="72">
        <v>1237.5</v>
      </c>
      <c r="J2477" s="70">
        <v>0.98529411764705865</v>
      </c>
    </row>
    <row r="2478" spans="9:10" x14ac:dyDescent="0.3">
      <c r="I2478" s="72">
        <v>1238</v>
      </c>
      <c r="J2478" s="70">
        <v>0.98529411764705865</v>
      </c>
    </row>
    <row r="2479" spans="9:10" x14ac:dyDescent="0.3">
      <c r="I2479" s="72">
        <v>1238.5</v>
      </c>
      <c r="J2479" s="70">
        <v>0.98529411764705865</v>
      </c>
    </row>
    <row r="2480" spans="9:10" x14ac:dyDescent="0.3">
      <c r="I2480" s="72">
        <v>1239</v>
      </c>
      <c r="J2480" s="70">
        <v>0.98529411764705865</v>
      </c>
    </row>
    <row r="2481" spans="9:10" x14ac:dyDescent="0.3">
      <c r="I2481" s="72">
        <v>1239.5</v>
      </c>
      <c r="J2481" s="70">
        <v>0.98529411764705865</v>
      </c>
    </row>
    <row r="2482" spans="9:10" x14ac:dyDescent="0.3">
      <c r="I2482" s="72">
        <v>1240</v>
      </c>
      <c r="J2482" s="70">
        <v>0.98529411764705865</v>
      </c>
    </row>
    <row r="2483" spans="9:10" x14ac:dyDescent="0.3">
      <c r="I2483" s="72">
        <v>1240.5</v>
      </c>
      <c r="J2483" s="70">
        <v>0.98529411764705865</v>
      </c>
    </row>
    <row r="2484" spans="9:10" x14ac:dyDescent="0.3">
      <c r="I2484" s="72">
        <v>1241</v>
      </c>
      <c r="J2484" s="70">
        <v>0.98529411764705865</v>
      </c>
    </row>
    <row r="2485" spans="9:10" x14ac:dyDescent="0.3">
      <c r="I2485" s="72">
        <v>1241.5</v>
      </c>
      <c r="J2485" s="70">
        <v>0.98529411764705865</v>
      </c>
    </row>
    <row r="2486" spans="9:10" x14ac:dyDescent="0.3">
      <c r="I2486" s="72">
        <v>1242</v>
      </c>
      <c r="J2486" s="70">
        <v>0.98529411764705865</v>
      </c>
    </row>
    <row r="2487" spans="9:10" x14ac:dyDescent="0.3">
      <c r="I2487" s="72">
        <v>1242.5</v>
      </c>
      <c r="J2487" s="70">
        <v>0.98529411764705865</v>
      </c>
    </row>
    <row r="2488" spans="9:10" x14ac:dyDescent="0.3">
      <c r="I2488" s="72">
        <v>1243</v>
      </c>
      <c r="J2488" s="70">
        <v>0.98529411764705865</v>
      </c>
    </row>
    <row r="2489" spans="9:10" x14ac:dyDescent="0.3">
      <c r="I2489" s="72">
        <v>1243.5</v>
      </c>
      <c r="J2489" s="70">
        <v>0.98529411764705865</v>
      </c>
    </row>
    <row r="2490" spans="9:10" x14ac:dyDescent="0.3">
      <c r="I2490" s="72">
        <v>1244</v>
      </c>
      <c r="J2490" s="70">
        <v>0.98529411764705865</v>
      </c>
    </row>
    <row r="2491" spans="9:10" x14ac:dyDescent="0.3">
      <c r="I2491" s="72">
        <v>1244.5</v>
      </c>
      <c r="J2491" s="70">
        <v>0.98529411764705865</v>
      </c>
    </row>
    <row r="2492" spans="9:10" x14ac:dyDescent="0.3">
      <c r="I2492" s="72">
        <v>1245</v>
      </c>
      <c r="J2492" s="70">
        <v>0.98529411764705865</v>
      </c>
    </row>
    <row r="2493" spans="9:10" x14ac:dyDescent="0.3">
      <c r="I2493" s="72">
        <v>1245.5</v>
      </c>
      <c r="J2493" s="70">
        <v>0.98529411764705865</v>
      </c>
    </row>
    <row r="2494" spans="9:10" x14ac:dyDescent="0.3">
      <c r="I2494" s="72">
        <v>1246</v>
      </c>
      <c r="J2494" s="70">
        <v>0.98529411764705865</v>
      </c>
    </row>
    <row r="2495" spans="9:10" x14ac:dyDescent="0.3">
      <c r="I2495" s="72">
        <v>1246.5</v>
      </c>
      <c r="J2495" s="70">
        <v>0.98529411764705865</v>
      </c>
    </row>
    <row r="2496" spans="9:10" x14ac:dyDescent="0.3">
      <c r="I2496" s="72">
        <v>1247</v>
      </c>
      <c r="J2496" s="70">
        <v>0.98529411764705865</v>
      </c>
    </row>
    <row r="2497" spans="9:10" x14ac:dyDescent="0.3">
      <c r="I2497" s="72">
        <v>1247.5</v>
      </c>
      <c r="J2497" s="70">
        <v>0.98529411764705865</v>
      </c>
    </row>
    <row r="2498" spans="9:10" x14ac:dyDescent="0.3">
      <c r="I2498" s="72">
        <v>1248</v>
      </c>
      <c r="J2498" s="70">
        <v>0.98529411764705865</v>
      </c>
    </row>
    <row r="2499" spans="9:10" x14ac:dyDescent="0.3">
      <c r="I2499" s="72">
        <v>1248.5</v>
      </c>
      <c r="J2499" s="70">
        <v>0.98529411764705865</v>
      </c>
    </row>
    <row r="2500" spans="9:10" x14ac:dyDescent="0.3">
      <c r="I2500" s="72">
        <v>1249</v>
      </c>
      <c r="J2500" s="70">
        <v>0.98529411764705865</v>
      </c>
    </row>
    <row r="2501" spans="9:10" x14ac:dyDescent="0.3">
      <c r="I2501" s="72">
        <v>1249.5</v>
      </c>
      <c r="J2501" s="70">
        <v>0.98529411764705865</v>
      </c>
    </row>
    <row r="2502" spans="9:10" x14ac:dyDescent="0.3">
      <c r="I2502" s="72">
        <v>1250</v>
      </c>
      <c r="J2502" s="70">
        <v>0.98529411764705865</v>
      </c>
    </row>
    <row r="2503" spans="9:10" x14ac:dyDescent="0.3">
      <c r="I2503" s="72">
        <v>1250.5</v>
      </c>
      <c r="J2503" s="70">
        <v>0.98529411764705865</v>
      </c>
    </row>
    <row r="2504" spans="9:10" x14ac:dyDescent="0.3">
      <c r="I2504" s="72">
        <v>1251</v>
      </c>
      <c r="J2504" s="70">
        <v>0.98529411764705865</v>
      </c>
    </row>
    <row r="2505" spans="9:10" x14ac:dyDescent="0.3">
      <c r="I2505" s="72">
        <v>1251.5</v>
      </c>
      <c r="J2505" s="70">
        <v>0.98529411764705865</v>
      </c>
    </row>
    <row r="2506" spans="9:10" x14ac:dyDescent="0.3">
      <c r="I2506" s="72">
        <v>1252</v>
      </c>
      <c r="J2506" s="70">
        <v>0.98529411764705865</v>
      </c>
    </row>
    <row r="2507" spans="9:10" x14ac:dyDescent="0.3">
      <c r="I2507" s="72">
        <v>1252.5</v>
      </c>
      <c r="J2507" s="70">
        <v>0.98529411764705865</v>
      </c>
    </row>
    <row r="2508" spans="9:10" x14ac:dyDescent="0.3">
      <c r="I2508" s="72">
        <v>1253</v>
      </c>
      <c r="J2508" s="70">
        <v>0.98529411764705865</v>
      </c>
    </row>
    <row r="2509" spans="9:10" x14ac:dyDescent="0.3">
      <c r="I2509" s="72">
        <v>1253.5</v>
      </c>
      <c r="J2509" s="70">
        <v>0.98529411764705865</v>
      </c>
    </row>
    <row r="2510" spans="9:10" x14ac:dyDescent="0.3">
      <c r="I2510" s="72">
        <v>1254</v>
      </c>
      <c r="J2510" s="70">
        <v>0.98529411764705865</v>
      </c>
    </row>
    <row r="2511" spans="9:10" x14ac:dyDescent="0.3">
      <c r="I2511" s="72">
        <v>1254.5</v>
      </c>
      <c r="J2511" s="70">
        <v>0.98529411764705865</v>
      </c>
    </row>
    <row r="2512" spans="9:10" x14ac:dyDescent="0.3">
      <c r="I2512" s="72">
        <v>1255</v>
      </c>
      <c r="J2512" s="70">
        <v>0.98529411764705865</v>
      </c>
    </row>
    <row r="2513" spans="9:10" x14ac:dyDescent="0.3">
      <c r="I2513" s="72">
        <v>1255.5</v>
      </c>
      <c r="J2513" s="70">
        <v>0.98529411764705865</v>
      </c>
    </row>
    <row r="2514" spans="9:10" x14ac:dyDescent="0.3">
      <c r="I2514" s="72">
        <v>1256</v>
      </c>
      <c r="J2514" s="70">
        <v>0.98529411764705865</v>
      </c>
    </row>
    <row r="2515" spans="9:10" x14ac:dyDescent="0.3">
      <c r="I2515" s="72">
        <v>1256.5</v>
      </c>
      <c r="J2515" s="70">
        <v>0.98529411764705865</v>
      </c>
    </row>
    <row r="2516" spans="9:10" x14ac:dyDescent="0.3">
      <c r="I2516" s="72">
        <v>1257</v>
      </c>
      <c r="J2516" s="70">
        <v>0.98529411764705865</v>
      </c>
    </row>
    <row r="2517" spans="9:10" x14ac:dyDescent="0.3">
      <c r="I2517" s="72">
        <v>1257.5</v>
      </c>
      <c r="J2517" s="70">
        <v>0.98713235294117629</v>
      </c>
    </row>
    <row r="2518" spans="9:10" x14ac:dyDescent="0.3">
      <c r="I2518" s="72">
        <v>1258</v>
      </c>
      <c r="J2518" s="70">
        <v>0.98713235294117629</v>
      </c>
    </row>
    <row r="2519" spans="9:10" x14ac:dyDescent="0.3">
      <c r="I2519" s="72">
        <v>1258.5</v>
      </c>
      <c r="J2519" s="70">
        <v>0.98713235294117629</v>
      </c>
    </row>
    <row r="2520" spans="9:10" x14ac:dyDescent="0.3">
      <c r="I2520" s="72">
        <v>1259</v>
      </c>
      <c r="J2520" s="70">
        <v>0.98713235294117629</v>
      </c>
    </row>
    <row r="2521" spans="9:10" x14ac:dyDescent="0.3">
      <c r="I2521" s="72">
        <v>1259.5</v>
      </c>
      <c r="J2521" s="70">
        <v>0.98713235294117629</v>
      </c>
    </row>
    <row r="2522" spans="9:10" x14ac:dyDescent="0.3">
      <c r="I2522" s="72">
        <v>1260</v>
      </c>
      <c r="J2522" s="70">
        <v>0.98713235294117629</v>
      </c>
    </row>
    <row r="2523" spans="9:10" x14ac:dyDescent="0.3">
      <c r="I2523" s="72">
        <v>1260.5</v>
      </c>
      <c r="J2523" s="70">
        <v>0.98713235294117629</v>
      </c>
    </row>
    <row r="2524" spans="9:10" x14ac:dyDescent="0.3">
      <c r="I2524" s="72">
        <v>1261</v>
      </c>
      <c r="J2524" s="70">
        <v>0.98713235294117629</v>
      </c>
    </row>
    <row r="2525" spans="9:10" x14ac:dyDescent="0.3">
      <c r="I2525" s="72">
        <v>1261.5</v>
      </c>
      <c r="J2525" s="70">
        <v>0.98713235294117629</v>
      </c>
    </row>
    <row r="2526" spans="9:10" x14ac:dyDescent="0.3">
      <c r="I2526" s="72">
        <v>1262</v>
      </c>
      <c r="J2526" s="70">
        <v>0.98713235294117629</v>
      </c>
    </row>
    <row r="2527" spans="9:10" x14ac:dyDescent="0.3">
      <c r="I2527" s="72">
        <v>1262.5</v>
      </c>
      <c r="J2527" s="70">
        <v>0.98713235294117629</v>
      </c>
    </row>
    <row r="2528" spans="9:10" x14ac:dyDescent="0.3">
      <c r="I2528" s="72">
        <v>1263</v>
      </c>
      <c r="J2528" s="70">
        <v>0.98713235294117629</v>
      </c>
    </row>
    <row r="2529" spans="9:10" x14ac:dyDescent="0.3">
      <c r="I2529" s="72">
        <v>1263.5</v>
      </c>
      <c r="J2529" s="70">
        <v>0.98713235294117629</v>
      </c>
    </row>
    <row r="2530" spans="9:10" x14ac:dyDescent="0.3">
      <c r="I2530" s="72">
        <v>1264</v>
      </c>
      <c r="J2530" s="70">
        <v>0.98713235294117629</v>
      </c>
    </row>
    <row r="2531" spans="9:10" x14ac:dyDescent="0.3">
      <c r="I2531" s="72">
        <v>1264.5</v>
      </c>
      <c r="J2531" s="70">
        <v>0.98713235294117629</v>
      </c>
    </row>
    <row r="2532" spans="9:10" x14ac:dyDescent="0.3">
      <c r="I2532" s="72">
        <v>1265</v>
      </c>
      <c r="J2532" s="70">
        <v>0.98713235294117629</v>
      </c>
    </row>
    <row r="2533" spans="9:10" x14ac:dyDescent="0.3">
      <c r="I2533" s="72">
        <v>1265.5</v>
      </c>
      <c r="J2533" s="70">
        <v>0.98713235294117629</v>
      </c>
    </row>
    <row r="2534" spans="9:10" x14ac:dyDescent="0.3">
      <c r="I2534" s="72">
        <v>1266</v>
      </c>
      <c r="J2534" s="70">
        <v>0.98713235294117629</v>
      </c>
    </row>
    <row r="2535" spans="9:10" x14ac:dyDescent="0.3">
      <c r="I2535" s="72">
        <v>1266.5</v>
      </c>
      <c r="J2535" s="70">
        <v>0.98713235294117629</v>
      </c>
    </row>
    <row r="2536" spans="9:10" x14ac:dyDescent="0.3">
      <c r="I2536" s="72">
        <v>1267</v>
      </c>
      <c r="J2536" s="70">
        <v>0.98713235294117629</v>
      </c>
    </row>
    <row r="2537" spans="9:10" x14ac:dyDescent="0.3">
      <c r="I2537" s="72">
        <v>1267.5</v>
      </c>
      <c r="J2537" s="70">
        <v>0.98713235294117629</v>
      </c>
    </row>
    <row r="2538" spans="9:10" x14ac:dyDescent="0.3">
      <c r="I2538" s="72">
        <v>1268</v>
      </c>
      <c r="J2538" s="70">
        <v>0.98713235294117629</v>
      </c>
    </row>
    <row r="2539" spans="9:10" x14ac:dyDescent="0.3">
      <c r="I2539" s="72">
        <v>1268.5</v>
      </c>
      <c r="J2539" s="70">
        <v>0.98713235294117629</v>
      </c>
    </row>
    <row r="2540" spans="9:10" x14ac:dyDescent="0.3">
      <c r="I2540" s="72">
        <v>1269</v>
      </c>
      <c r="J2540" s="70">
        <v>0.98713235294117629</v>
      </c>
    </row>
    <row r="2541" spans="9:10" x14ac:dyDescent="0.3">
      <c r="I2541" s="72">
        <v>1269.5</v>
      </c>
      <c r="J2541" s="70">
        <v>0.98713235294117629</v>
      </c>
    </row>
    <row r="2542" spans="9:10" x14ac:dyDescent="0.3">
      <c r="I2542" s="72">
        <v>1270</v>
      </c>
      <c r="J2542" s="70">
        <v>0.98713235294117629</v>
      </c>
    </row>
    <row r="2543" spans="9:10" x14ac:dyDescent="0.3">
      <c r="I2543" s="72">
        <v>1270.5</v>
      </c>
      <c r="J2543" s="70">
        <v>0.98713235294117629</v>
      </c>
    </row>
    <row r="2544" spans="9:10" x14ac:dyDescent="0.3">
      <c r="I2544" s="72">
        <v>1271</v>
      </c>
      <c r="J2544" s="70">
        <v>0.98713235294117629</v>
      </c>
    </row>
    <row r="2545" spans="9:10" x14ac:dyDescent="0.3">
      <c r="I2545" s="72">
        <v>1271.5</v>
      </c>
      <c r="J2545" s="70">
        <v>0.98713235294117629</v>
      </c>
    </row>
    <row r="2546" spans="9:10" x14ac:dyDescent="0.3">
      <c r="I2546" s="72">
        <v>1272</v>
      </c>
      <c r="J2546" s="70">
        <v>0.98713235294117629</v>
      </c>
    </row>
    <row r="2547" spans="9:10" x14ac:dyDescent="0.3">
      <c r="I2547" s="72">
        <v>1272.5</v>
      </c>
      <c r="J2547" s="70">
        <v>0.98713235294117629</v>
      </c>
    </row>
    <row r="2548" spans="9:10" x14ac:dyDescent="0.3">
      <c r="I2548" s="72">
        <v>1273</v>
      </c>
      <c r="J2548" s="70">
        <v>0.98713235294117629</v>
      </c>
    </row>
    <row r="2549" spans="9:10" x14ac:dyDescent="0.3">
      <c r="I2549" s="72">
        <v>1273.5</v>
      </c>
      <c r="J2549" s="70">
        <v>0.98713235294117629</v>
      </c>
    </row>
    <row r="2550" spans="9:10" x14ac:dyDescent="0.3">
      <c r="I2550" s="72">
        <v>1274</v>
      </c>
      <c r="J2550" s="70">
        <v>0.98713235294117629</v>
      </c>
    </row>
    <row r="2551" spans="9:10" x14ac:dyDescent="0.3">
      <c r="I2551" s="72">
        <v>1274.5</v>
      </c>
      <c r="J2551" s="70">
        <v>0.98713235294117629</v>
      </c>
    </row>
    <row r="2552" spans="9:10" x14ac:dyDescent="0.3">
      <c r="I2552" s="72">
        <v>1275</v>
      </c>
      <c r="J2552" s="70">
        <v>0.98713235294117629</v>
      </c>
    </row>
    <row r="2553" spans="9:10" x14ac:dyDescent="0.3">
      <c r="I2553" s="72">
        <v>1275.5</v>
      </c>
      <c r="J2553" s="70">
        <v>0.98713235294117629</v>
      </c>
    </row>
    <row r="2554" spans="9:10" x14ac:dyDescent="0.3">
      <c r="I2554" s="72">
        <v>1276</v>
      </c>
      <c r="J2554" s="70">
        <v>0.98713235294117629</v>
      </c>
    </row>
    <row r="2555" spans="9:10" x14ac:dyDescent="0.3">
      <c r="I2555" s="72">
        <v>1276.5</v>
      </c>
      <c r="J2555" s="70">
        <v>0.98713235294117629</v>
      </c>
    </row>
    <row r="2556" spans="9:10" x14ac:dyDescent="0.3">
      <c r="I2556" s="72">
        <v>1277</v>
      </c>
      <c r="J2556" s="70">
        <v>0.98713235294117629</v>
      </c>
    </row>
    <row r="2557" spans="9:10" x14ac:dyDescent="0.3">
      <c r="I2557" s="72">
        <v>1277.5</v>
      </c>
      <c r="J2557" s="70">
        <v>0.98713235294117629</v>
      </c>
    </row>
    <row r="2558" spans="9:10" x14ac:dyDescent="0.3">
      <c r="I2558" s="72">
        <v>1278</v>
      </c>
      <c r="J2558" s="70">
        <v>0.98713235294117629</v>
      </c>
    </row>
    <row r="2559" spans="9:10" x14ac:dyDescent="0.3">
      <c r="I2559" s="72">
        <v>1278.5</v>
      </c>
      <c r="J2559" s="70">
        <v>0.98713235294117629</v>
      </c>
    </row>
    <row r="2560" spans="9:10" x14ac:dyDescent="0.3">
      <c r="I2560" s="72">
        <v>1279</v>
      </c>
      <c r="J2560" s="70">
        <v>0.98713235294117629</v>
      </c>
    </row>
    <row r="2561" spans="9:10" x14ac:dyDescent="0.3">
      <c r="I2561" s="72">
        <v>1279.5</v>
      </c>
      <c r="J2561" s="70">
        <v>0.98713235294117629</v>
      </c>
    </row>
    <row r="2562" spans="9:10" x14ac:dyDescent="0.3">
      <c r="I2562" s="72">
        <v>1280</v>
      </c>
      <c r="J2562" s="70">
        <v>0.98713235294117629</v>
      </c>
    </row>
    <row r="2563" spans="9:10" x14ac:dyDescent="0.3">
      <c r="I2563" s="72">
        <v>1280.5</v>
      </c>
      <c r="J2563" s="70">
        <v>0.98713235294117629</v>
      </c>
    </row>
    <row r="2564" spans="9:10" x14ac:dyDescent="0.3">
      <c r="I2564" s="72">
        <v>1281</v>
      </c>
      <c r="J2564" s="70">
        <v>0.98713235294117629</v>
      </c>
    </row>
    <row r="2565" spans="9:10" x14ac:dyDescent="0.3">
      <c r="I2565" s="72">
        <v>1281.5</v>
      </c>
      <c r="J2565" s="70">
        <v>0.98713235294117629</v>
      </c>
    </row>
    <row r="2566" spans="9:10" x14ac:dyDescent="0.3">
      <c r="I2566" s="72">
        <v>1282</v>
      </c>
      <c r="J2566" s="70">
        <v>0.98713235294117629</v>
      </c>
    </row>
    <row r="2567" spans="9:10" x14ac:dyDescent="0.3">
      <c r="I2567" s="72">
        <v>1282.5</v>
      </c>
      <c r="J2567" s="70">
        <v>0.98713235294117629</v>
      </c>
    </row>
    <row r="2568" spans="9:10" x14ac:dyDescent="0.3">
      <c r="I2568" s="72">
        <v>1283</v>
      </c>
      <c r="J2568" s="70">
        <v>0.98713235294117629</v>
      </c>
    </row>
    <row r="2569" spans="9:10" x14ac:dyDescent="0.3">
      <c r="I2569" s="72">
        <v>1283.5</v>
      </c>
      <c r="J2569" s="70">
        <v>0.98713235294117629</v>
      </c>
    </row>
    <row r="2570" spans="9:10" x14ac:dyDescent="0.3">
      <c r="I2570" s="72">
        <v>1284</v>
      </c>
      <c r="J2570" s="70">
        <v>0.98713235294117629</v>
      </c>
    </row>
    <row r="2571" spans="9:10" x14ac:dyDescent="0.3">
      <c r="I2571" s="72">
        <v>1284.5</v>
      </c>
      <c r="J2571" s="70">
        <v>0.98713235294117629</v>
      </c>
    </row>
    <row r="2572" spans="9:10" x14ac:dyDescent="0.3">
      <c r="I2572" s="72">
        <v>1285</v>
      </c>
      <c r="J2572" s="70">
        <v>0.98713235294117629</v>
      </c>
    </row>
    <row r="2573" spans="9:10" x14ac:dyDescent="0.3">
      <c r="I2573" s="72">
        <v>1285.5</v>
      </c>
      <c r="J2573" s="70">
        <v>0.98713235294117629</v>
      </c>
    </row>
    <row r="2574" spans="9:10" x14ac:dyDescent="0.3">
      <c r="I2574" s="72">
        <v>1286</v>
      </c>
      <c r="J2574" s="70">
        <v>0.98713235294117629</v>
      </c>
    </row>
    <row r="2575" spans="9:10" x14ac:dyDescent="0.3">
      <c r="I2575" s="72">
        <v>1286.5</v>
      </c>
      <c r="J2575" s="70">
        <v>0.98713235294117629</v>
      </c>
    </row>
    <row r="2576" spans="9:10" x14ac:dyDescent="0.3">
      <c r="I2576" s="72">
        <v>1287</v>
      </c>
      <c r="J2576" s="70">
        <v>0.98713235294117629</v>
      </c>
    </row>
    <row r="2577" spans="9:10" x14ac:dyDescent="0.3">
      <c r="I2577" s="72">
        <v>1287.5</v>
      </c>
      <c r="J2577" s="70">
        <v>0.98713235294117629</v>
      </c>
    </row>
    <row r="2578" spans="9:10" x14ac:dyDescent="0.3">
      <c r="I2578" s="72">
        <v>1288</v>
      </c>
      <c r="J2578" s="70">
        <v>0.98713235294117629</v>
      </c>
    </row>
    <row r="2579" spans="9:10" x14ac:dyDescent="0.3">
      <c r="I2579" s="72">
        <v>1288.5</v>
      </c>
      <c r="J2579" s="70">
        <v>0.98713235294117629</v>
      </c>
    </row>
    <row r="2580" spans="9:10" x14ac:dyDescent="0.3">
      <c r="I2580" s="72">
        <v>1289</v>
      </c>
      <c r="J2580" s="70">
        <v>0.98713235294117629</v>
      </c>
    </row>
    <row r="2581" spans="9:10" x14ac:dyDescent="0.3">
      <c r="I2581" s="72">
        <v>1289.5</v>
      </c>
      <c r="J2581" s="70">
        <v>0.98713235294117629</v>
      </c>
    </row>
    <row r="2582" spans="9:10" x14ac:dyDescent="0.3">
      <c r="I2582" s="72">
        <v>1290</v>
      </c>
      <c r="J2582" s="70">
        <v>0.98713235294117629</v>
      </c>
    </row>
    <row r="2583" spans="9:10" x14ac:dyDescent="0.3">
      <c r="I2583" s="72">
        <v>1290.5</v>
      </c>
      <c r="J2583" s="70">
        <v>0.98713235294117629</v>
      </c>
    </row>
    <row r="2584" spans="9:10" x14ac:dyDescent="0.3">
      <c r="I2584" s="72">
        <v>1291</v>
      </c>
      <c r="J2584" s="70">
        <v>0.98713235294117629</v>
      </c>
    </row>
    <row r="2585" spans="9:10" x14ac:dyDescent="0.3">
      <c r="I2585" s="72">
        <v>1291.5</v>
      </c>
      <c r="J2585" s="70">
        <v>0.98713235294117629</v>
      </c>
    </row>
    <row r="2586" spans="9:10" x14ac:dyDescent="0.3">
      <c r="I2586" s="72">
        <v>1292</v>
      </c>
      <c r="J2586" s="70">
        <v>0.98713235294117629</v>
      </c>
    </row>
    <row r="2587" spans="9:10" x14ac:dyDescent="0.3">
      <c r="I2587" s="72">
        <v>1292.5</v>
      </c>
      <c r="J2587" s="70">
        <v>0.98713235294117629</v>
      </c>
    </row>
    <row r="2588" spans="9:10" x14ac:dyDescent="0.3">
      <c r="I2588" s="72">
        <v>1293</v>
      </c>
      <c r="J2588" s="70">
        <v>0.98713235294117629</v>
      </c>
    </row>
    <row r="2589" spans="9:10" x14ac:dyDescent="0.3">
      <c r="I2589" s="72">
        <v>1293.5</v>
      </c>
      <c r="J2589" s="70">
        <v>0.98713235294117629</v>
      </c>
    </row>
    <row r="2590" spans="9:10" x14ac:dyDescent="0.3">
      <c r="I2590" s="72">
        <v>1294</v>
      </c>
      <c r="J2590" s="70">
        <v>0.98713235294117629</v>
      </c>
    </row>
    <row r="2591" spans="9:10" x14ac:dyDescent="0.3">
      <c r="I2591" s="72">
        <v>1294.5</v>
      </c>
      <c r="J2591" s="70">
        <v>0.98713235294117629</v>
      </c>
    </row>
    <row r="2592" spans="9:10" x14ac:dyDescent="0.3">
      <c r="I2592" s="72">
        <v>1295</v>
      </c>
      <c r="J2592" s="70">
        <v>0.98713235294117629</v>
      </c>
    </row>
    <row r="2593" spans="9:10" x14ac:dyDescent="0.3">
      <c r="I2593" s="72">
        <v>1295.5</v>
      </c>
      <c r="J2593" s="70">
        <v>0.98713235294117629</v>
      </c>
    </row>
    <row r="2594" spans="9:10" x14ac:dyDescent="0.3">
      <c r="I2594" s="72">
        <v>1296</v>
      </c>
      <c r="J2594" s="70">
        <v>0.98713235294117629</v>
      </c>
    </row>
    <row r="2595" spans="9:10" x14ac:dyDescent="0.3">
      <c r="I2595" s="72">
        <v>1296.5</v>
      </c>
      <c r="J2595" s="70">
        <v>0.98713235294117629</v>
      </c>
    </row>
    <row r="2596" spans="9:10" x14ac:dyDescent="0.3">
      <c r="I2596" s="72">
        <v>1297</v>
      </c>
      <c r="J2596" s="70">
        <v>0.98713235294117629</v>
      </c>
    </row>
    <row r="2597" spans="9:10" x14ac:dyDescent="0.3">
      <c r="I2597" s="72">
        <v>1297.5</v>
      </c>
      <c r="J2597" s="70">
        <v>0.98713235294117629</v>
      </c>
    </row>
    <row r="2598" spans="9:10" x14ac:dyDescent="0.3">
      <c r="I2598" s="72">
        <v>1298</v>
      </c>
      <c r="J2598" s="70">
        <v>0.98713235294117629</v>
      </c>
    </row>
    <row r="2599" spans="9:10" x14ac:dyDescent="0.3">
      <c r="I2599" s="72">
        <v>1298.5</v>
      </c>
      <c r="J2599" s="70">
        <v>0.98713235294117629</v>
      </c>
    </row>
    <row r="2600" spans="9:10" x14ac:dyDescent="0.3">
      <c r="I2600" s="72">
        <v>1299</v>
      </c>
      <c r="J2600" s="70">
        <v>0.98713235294117629</v>
      </c>
    </row>
    <row r="2601" spans="9:10" x14ac:dyDescent="0.3">
      <c r="I2601" s="72">
        <v>1299.5</v>
      </c>
      <c r="J2601" s="70">
        <v>0.98713235294117629</v>
      </c>
    </row>
    <row r="2602" spans="9:10" x14ac:dyDescent="0.3">
      <c r="I2602" s="72">
        <v>1300</v>
      </c>
      <c r="J2602" s="70">
        <v>0.98713235294117629</v>
      </c>
    </row>
    <row r="2603" spans="9:10" x14ac:dyDescent="0.3">
      <c r="I2603" s="72">
        <v>1300.5</v>
      </c>
      <c r="J2603" s="70">
        <v>0.98713235294117629</v>
      </c>
    </row>
    <row r="2604" spans="9:10" x14ac:dyDescent="0.3">
      <c r="I2604" s="72">
        <v>1301</v>
      </c>
      <c r="J2604" s="70">
        <v>0.98713235294117629</v>
      </c>
    </row>
    <row r="2605" spans="9:10" x14ac:dyDescent="0.3">
      <c r="I2605" s="72">
        <v>1301.5</v>
      </c>
      <c r="J2605" s="70">
        <v>0.98713235294117629</v>
      </c>
    </row>
    <row r="2606" spans="9:10" x14ac:dyDescent="0.3">
      <c r="I2606" s="72">
        <v>1302</v>
      </c>
      <c r="J2606" s="70">
        <v>0.98713235294117629</v>
      </c>
    </row>
    <row r="2607" spans="9:10" x14ac:dyDescent="0.3">
      <c r="I2607" s="72">
        <v>1302.5</v>
      </c>
      <c r="J2607" s="70">
        <v>0.98713235294117629</v>
      </c>
    </row>
    <row r="2608" spans="9:10" x14ac:dyDescent="0.3">
      <c r="I2608" s="72">
        <v>1303</v>
      </c>
      <c r="J2608" s="70">
        <v>0.98713235294117629</v>
      </c>
    </row>
    <row r="2609" spans="9:10" x14ac:dyDescent="0.3">
      <c r="I2609" s="72">
        <v>1303.5</v>
      </c>
      <c r="J2609" s="70">
        <v>0.98713235294117629</v>
      </c>
    </row>
    <row r="2610" spans="9:10" x14ac:dyDescent="0.3">
      <c r="I2610" s="72">
        <v>1304</v>
      </c>
      <c r="J2610" s="70">
        <v>0.98713235294117629</v>
      </c>
    </row>
    <row r="2611" spans="9:10" x14ac:dyDescent="0.3">
      <c r="I2611" s="72">
        <v>1304.5</v>
      </c>
      <c r="J2611" s="70">
        <v>0.98713235294117629</v>
      </c>
    </row>
    <row r="2612" spans="9:10" x14ac:dyDescent="0.3">
      <c r="I2612" s="72">
        <v>1305</v>
      </c>
      <c r="J2612" s="70">
        <v>0.98713235294117629</v>
      </c>
    </row>
    <row r="2613" spans="9:10" x14ac:dyDescent="0.3">
      <c r="I2613" s="72">
        <v>1305.5</v>
      </c>
      <c r="J2613" s="70">
        <v>0.98713235294117629</v>
      </c>
    </row>
    <row r="2614" spans="9:10" x14ac:dyDescent="0.3">
      <c r="I2614" s="72">
        <v>1306</v>
      </c>
      <c r="J2614" s="70">
        <v>0.98713235294117629</v>
      </c>
    </row>
    <row r="2615" spans="9:10" x14ac:dyDescent="0.3">
      <c r="I2615" s="72">
        <v>1306.5</v>
      </c>
      <c r="J2615" s="70">
        <v>0.98713235294117629</v>
      </c>
    </row>
    <row r="2616" spans="9:10" x14ac:dyDescent="0.3">
      <c r="I2616" s="72">
        <v>1307</v>
      </c>
      <c r="J2616" s="70">
        <v>0.98713235294117629</v>
      </c>
    </row>
    <row r="2617" spans="9:10" x14ac:dyDescent="0.3">
      <c r="I2617" s="72">
        <v>1307.5</v>
      </c>
      <c r="J2617" s="70">
        <v>0.98713235294117629</v>
      </c>
    </row>
    <row r="2618" spans="9:10" x14ac:dyDescent="0.3">
      <c r="I2618" s="72">
        <v>1308</v>
      </c>
      <c r="J2618" s="70">
        <v>0.98713235294117629</v>
      </c>
    </row>
    <row r="2619" spans="9:10" x14ac:dyDescent="0.3">
      <c r="I2619" s="72">
        <v>1308.5</v>
      </c>
      <c r="J2619" s="70">
        <v>0.98713235294117629</v>
      </c>
    </row>
    <row r="2620" spans="9:10" x14ac:dyDescent="0.3">
      <c r="I2620" s="72">
        <v>1309</v>
      </c>
      <c r="J2620" s="70">
        <v>0.98713235294117629</v>
      </c>
    </row>
    <row r="2621" spans="9:10" x14ac:dyDescent="0.3">
      <c r="I2621" s="72">
        <v>1309.5</v>
      </c>
      <c r="J2621" s="70">
        <v>0.98713235294117629</v>
      </c>
    </row>
    <row r="2622" spans="9:10" x14ac:dyDescent="0.3">
      <c r="I2622" s="72">
        <v>1310</v>
      </c>
      <c r="J2622" s="70">
        <v>0.98713235294117629</v>
      </c>
    </row>
    <row r="2623" spans="9:10" x14ac:dyDescent="0.3">
      <c r="I2623" s="72">
        <v>1310.5</v>
      </c>
      <c r="J2623" s="70">
        <v>0.98713235294117629</v>
      </c>
    </row>
    <row r="2624" spans="9:10" x14ac:dyDescent="0.3">
      <c r="I2624" s="72">
        <v>1311</v>
      </c>
      <c r="J2624" s="70">
        <v>0.98713235294117629</v>
      </c>
    </row>
    <row r="2625" spans="9:10" x14ac:dyDescent="0.3">
      <c r="I2625" s="72">
        <v>1311.5</v>
      </c>
      <c r="J2625" s="70">
        <v>0.98713235294117629</v>
      </c>
    </row>
    <row r="2626" spans="9:10" x14ac:dyDescent="0.3">
      <c r="I2626" s="72">
        <v>1312</v>
      </c>
      <c r="J2626" s="70">
        <v>0.98713235294117629</v>
      </c>
    </row>
    <row r="2627" spans="9:10" x14ac:dyDescent="0.3">
      <c r="I2627" s="72">
        <v>1312.5</v>
      </c>
      <c r="J2627" s="70">
        <v>0.98713235294117629</v>
      </c>
    </row>
    <row r="2628" spans="9:10" x14ac:dyDescent="0.3">
      <c r="I2628" s="72">
        <v>1313</v>
      </c>
      <c r="J2628" s="70">
        <v>0.98713235294117629</v>
      </c>
    </row>
    <row r="2629" spans="9:10" x14ac:dyDescent="0.3">
      <c r="I2629" s="72">
        <v>1313.5</v>
      </c>
      <c r="J2629" s="70">
        <v>0.98713235294117629</v>
      </c>
    </row>
    <row r="2630" spans="9:10" x14ac:dyDescent="0.3">
      <c r="I2630" s="72">
        <v>1314</v>
      </c>
      <c r="J2630" s="70">
        <v>0.98713235294117629</v>
      </c>
    </row>
    <row r="2631" spans="9:10" x14ac:dyDescent="0.3">
      <c r="I2631" s="72">
        <v>1314.5</v>
      </c>
      <c r="J2631" s="70">
        <v>0.98713235294117629</v>
      </c>
    </row>
    <row r="2632" spans="9:10" x14ac:dyDescent="0.3">
      <c r="I2632" s="72">
        <v>1315</v>
      </c>
      <c r="J2632" s="70">
        <v>0.98713235294117629</v>
      </c>
    </row>
    <row r="2633" spans="9:10" x14ac:dyDescent="0.3">
      <c r="I2633" s="72">
        <v>1315.5</v>
      </c>
      <c r="J2633" s="70">
        <v>0.98713235294117629</v>
      </c>
    </row>
    <row r="2634" spans="9:10" x14ac:dyDescent="0.3">
      <c r="I2634" s="72">
        <v>1316</v>
      </c>
      <c r="J2634" s="70">
        <v>0.98713235294117629</v>
      </c>
    </row>
    <row r="2635" spans="9:10" x14ac:dyDescent="0.3">
      <c r="I2635" s="72">
        <v>1316.5</v>
      </c>
      <c r="J2635" s="70">
        <v>0.98713235294117629</v>
      </c>
    </row>
    <row r="2636" spans="9:10" x14ac:dyDescent="0.3">
      <c r="I2636" s="72">
        <v>1317</v>
      </c>
      <c r="J2636" s="70">
        <v>0.98713235294117629</v>
      </c>
    </row>
    <row r="2637" spans="9:10" x14ac:dyDescent="0.3">
      <c r="I2637" s="72">
        <v>1317.5</v>
      </c>
      <c r="J2637" s="70">
        <v>0.98713235294117629</v>
      </c>
    </row>
    <row r="2638" spans="9:10" x14ac:dyDescent="0.3">
      <c r="I2638" s="72">
        <v>1318</v>
      </c>
      <c r="J2638" s="70">
        <v>0.98713235294117629</v>
      </c>
    </row>
    <row r="2639" spans="9:10" x14ac:dyDescent="0.3">
      <c r="I2639" s="72">
        <v>1318.5</v>
      </c>
      <c r="J2639" s="70">
        <v>0.98713235294117629</v>
      </c>
    </row>
    <row r="2640" spans="9:10" x14ac:dyDescent="0.3">
      <c r="I2640" s="72">
        <v>1319</v>
      </c>
      <c r="J2640" s="70">
        <v>0.98713235294117629</v>
      </c>
    </row>
    <row r="2641" spans="9:10" x14ac:dyDescent="0.3">
      <c r="I2641" s="72">
        <v>1319.5</v>
      </c>
      <c r="J2641" s="70">
        <v>0.98713235294117629</v>
      </c>
    </row>
    <row r="2642" spans="9:10" x14ac:dyDescent="0.3">
      <c r="I2642" s="72">
        <v>1320</v>
      </c>
      <c r="J2642" s="70">
        <v>0.98713235294117629</v>
      </c>
    </row>
    <row r="2643" spans="9:10" x14ac:dyDescent="0.3">
      <c r="I2643" s="72">
        <v>1320.5</v>
      </c>
      <c r="J2643" s="70">
        <v>0.98713235294117629</v>
      </c>
    </row>
    <row r="2644" spans="9:10" x14ac:dyDescent="0.3">
      <c r="I2644" s="72">
        <v>1321</v>
      </c>
      <c r="J2644" s="70">
        <v>0.98713235294117629</v>
      </c>
    </row>
    <row r="2645" spans="9:10" x14ac:dyDescent="0.3">
      <c r="I2645" s="72">
        <v>1321.5</v>
      </c>
      <c r="J2645" s="70">
        <v>0.98713235294117629</v>
      </c>
    </row>
    <row r="2646" spans="9:10" x14ac:dyDescent="0.3">
      <c r="I2646" s="72">
        <v>1322</v>
      </c>
      <c r="J2646" s="70">
        <v>0.98713235294117629</v>
      </c>
    </row>
    <row r="2647" spans="9:10" x14ac:dyDescent="0.3">
      <c r="I2647" s="72">
        <v>1322.5</v>
      </c>
      <c r="J2647" s="70">
        <v>0.98713235294117629</v>
      </c>
    </row>
    <row r="2648" spans="9:10" x14ac:dyDescent="0.3">
      <c r="I2648" s="72">
        <v>1323</v>
      </c>
      <c r="J2648" s="70">
        <v>0.98713235294117629</v>
      </c>
    </row>
    <row r="2649" spans="9:10" x14ac:dyDescent="0.3">
      <c r="I2649" s="72">
        <v>1323.5</v>
      </c>
      <c r="J2649" s="70">
        <v>0.98713235294117629</v>
      </c>
    </row>
    <row r="2650" spans="9:10" x14ac:dyDescent="0.3">
      <c r="I2650" s="72">
        <v>1324</v>
      </c>
      <c r="J2650" s="70">
        <v>0.98713235294117629</v>
      </c>
    </row>
    <row r="2651" spans="9:10" x14ac:dyDescent="0.3">
      <c r="I2651" s="72">
        <v>1324.5</v>
      </c>
      <c r="J2651" s="70">
        <v>0.98713235294117629</v>
      </c>
    </row>
    <row r="2652" spans="9:10" x14ac:dyDescent="0.3">
      <c r="I2652" s="72">
        <v>1325</v>
      </c>
      <c r="J2652" s="70">
        <v>0.98713235294117629</v>
      </c>
    </row>
    <row r="2653" spans="9:10" x14ac:dyDescent="0.3">
      <c r="I2653" s="72">
        <v>1325.5</v>
      </c>
      <c r="J2653" s="70">
        <v>0.98713235294117629</v>
      </c>
    </row>
    <row r="2654" spans="9:10" x14ac:dyDescent="0.3">
      <c r="I2654" s="72">
        <v>1326</v>
      </c>
      <c r="J2654" s="70">
        <v>0.98713235294117629</v>
      </c>
    </row>
    <row r="2655" spans="9:10" x14ac:dyDescent="0.3">
      <c r="I2655" s="72">
        <v>1326.5</v>
      </c>
      <c r="J2655" s="70">
        <v>0.98713235294117629</v>
      </c>
    </row>
    <row r="2656" spans="9:10" x14ac:dyDescent="0.3">
      <c r="I2656" s="72">
        <v>1327</v>
      </c>
      <c r="J2656" s="70">
        <v>0.98713235294117629</v>
      </c>
    </row>
    <row r="2657" spans="9:10" x14ac:dyDescent="0.3">
      <c r="I2657" s="72">
        <v>1327.5</v>
      </c>
      <c r="J2657" s="70">
        <v>0.98713235294117629</v>
      </c>
    </row>
    <row r="2658" spans="9:10" x14ac:dyDescent="0.3">
      <c r="I2658" s="72">
        <v>1328</v>
      </c>
      <c r="J2658" s="70">
        <v>0.98713235294117629</v>
      </c>
    </row>
    <row r="2659" spans="9:10" x14ac:dyDescent="0.3">
      <c r="I2659" s="72">
        <v>1328.5</v>
      </c>
      <c r="J2659" s="70">
        <v>0.98713235294117629</v>
      </c>
    </row>
    <row r="2660" spans="9:10" x14ac:dyDescent="0.3">
      <c r="I2660" s="72">
        <v>1329</v>
      </c>
      <c r="J2660" s="70">
        <v>0.98713235294117629</v>
      </c>
    </row>
    <row r="2661" spans="9:10" x14ac:dyDescent="0.3">
      <c r="I2661" s="72">
        <v>1329.5</v>
      </c>
      <c r="J2661" s="70">
        <v>0.98713235294117629</v>
      </c>
    </row>
    <row r="2662" spans="9:10" x14ac:dyDescent="0.3">
      <c r="I2662" s="72">
        <v>1330</v>
      </c>
      <c r="J2662" s="70">
        <v>0.98713235294117629</v>
      </c>
    </row>
    <row r="2663" spans="9:10" x14ac:dyDescent="0.3">
      <c r="I2663" s="72">
        <v>1330.5</v>
      </c>
      <c r="J2663" s="70">
        <v>0.98713235294117629</v>
      </c>
    </row>
    <row r="2664" spans="9:10" x14ac:dyDescent="0.3">
      <c r="I2664" s="72">
        <v>1331</v>
      </c>
      <c r="J2664" s="70">
        <v>0.98713235294117629</v>
      </c>
    </row>
    <row r="2665" spans="9:10" x14ac:dyDescent="0.3">
      <c r="I2665" s="72">
        <v>1331.5</v>
      </c>
      <c r="J2665" s="70">
        <v>0.98713235294117629</v>
      </c>
    </row>
    <row r="2666" spans="9:10" x14ac:dyDescent="0.3">
      <c r="I2666" s="72">
        <v>1332</v>
      </c>
      <c r="J2666" s="70">
        <v>0.98713235294117629</v>
      </c>
    </row>
    <row r="2667" spans="9:10" x14ac:dyDescent="0.3">
      <c r="I2667" s="72">
        <v>1332.5</v>
      </c>
      <c r="J2667" s="70">
        <v>0.98713235294117629</v>
      </c>
    </row>
    <row r="2668" spans="9:10" x14ac:dyDescent="0.3">
      <c r="I2668" s="72">
        <v>1333</v>
      </c>
      <c r="J2668" s="70">
        <v>0.98713235294117629</v>
      </c>
    </row>
    <row r="2669" spans="9:10" x14ac:dyDescent="0.3">
      <c r="I2669" s="72">
        <v>1333.5</v>
      </c>
      <c r="J2669" s="70">
        <v>0.98713235294117629</v>
      </c>
    </row>
    <row r="2670" spans="9:10" x14ac:dyDescent="0.3">
      <c r="I2670" s="72">
        <v>1334</v>
      </c>
      <c r="J2670" s="70">
        <v>0.98713235294117629</v>
      </c>
    </row>
    <row r="2671" spans="9:10" x14ac:dyDescent="0.3">
      <c r="I2671" s="72">
        <v>1334.5</v>
      </c>
      <c r="J2671" s="70">
        <v>0.98713235294117629</v>
      </c>
    </row>
    <row r="2672" spans="9:10" x14ac:dyDescent="0.3">
      <c r="I2672" s="72">
        <v>1335</v>
      </c>
      <c r="J2672" s="70">
        <v>0.98713235294117629</v>
      </c>
    </row>
    <row r="2673" spans="9:10" x14ac:dyDescent="0.3">
      <c r="I2673" s="72">
        <v>1335.5</v>
      </c>
      <c r="J2673" s="70">
        <v>0.98713235294117629</v>
      </c>
    </row>
    <row r="2674" spans="9:10" x14ac:dyDescent="0.3">
      <c r="I2674" s="72">
        <v>1336</v>
      </c>
      <c r="J2674" s="70">
        <v>0.98713235294117629</v>
      </c>
    </row>
    <row r="2675" spans="9:10" x14ac:dyDescent="0.3">
      <c r="I2675" s="72">
        <v>1336.5</v>
      </c>
      <c r="J2675" s="70">
        <v>0.98713235294117629</v>
      </c>
    </row>
    <row r="2676" spans="9:10" x14ac:dyDescent="0.3">
      <c r="I2676" s="72">
        <v>1337</v>
      </c>
      <c r="J2676" s="70">
        <v>0.98713235294117629</v>
      </c>
    </row>
    <row r="2677" spans="9:10" x14ac:dyDescent="0.3">
      <c r="I2677" s="72">
        <v>1337.5</v>
      </c>
      <c r="J2677" s="70">
        <v>0.98713235294117629</v>
      </c>
    </row>
    <row r="2678" spans="9:10" x14ac:dyDescent="0.3">
      <c r="I2678" s="72">
        <v>1338</v>
      </c>
      <c r="J2678" s="70">
        <v>0.98713235294117629</v>
      </c>
    </row>
    <row r="2679" spans="9:10" x14ac:dyDescent="0.3">
      <c r="I2679" s="72">
        <v>1338.5</v>
      </c>
      <c r="J2679" s="70">
        <v>0.98713235294117629</v>
      </c>
    </row>
    <row r="2680" spans="9:10" x14ac:dyDescent="0.3">
      <c r="I2680" s="72">
        <v>1339</v>
      </c>
      <c r="J2680" s="70">
        <v>0.98713235294117629</v>
      </c>
    </row>
    <row r="2681" spans="9:10" x14ac:dyDescent="0.3">
      <c r="I2681" s="72">
        <v>1339.5</v>
      </c>
      <c r="J2681" s="70">
        <v>0.98713235294117629</v>
      </c>
    </row>
    <row r="2682" spans="9:10" x14ac:dyDescent="0.3">
      <c r="I2682" s="72">
        <v>1340</v>
      </c>
      <c r="J2682" s="70">
        <v>0.98713235294117629</v>
      </c>
    </row>
    <row r="2683" spans="9:10" x14ac:dyDescent="0.3">
      <c r="I2683" s="72">
        <v>1340.5</v>
      </c>
      <c r="J2683" s="70">
        <v>0.98713235294117629</v>
      </c>
    </row>
    <row r="2684" spans="9:10" x14ac:dyDescent="0.3">
      <c r="I2684" s="72">
        <v>1341</v>
      </c>
      <c r="J2684" s="70">
        <v>0.98713235294117629</v>
      </c>
    </row>
    <row r="2685" spans="9:10" x14ac:dyDescent="0.3">
      <c r="I2685" s="72">
        <v>1341.5</v>
      </c>
      <c r="J2685" s="70">
        <v>0.98713235294117629</v>
      </c>
    </row>
    <row r="2686" spans="9:10" x14ac:dyDescent="0.3">
      <c r="I2686" s="72">
        <v>1342</v>
      </c>
      <c r="J2686" s="70">
        <v>0.98713235294117629</v>
      </c>
    </row>
    <row r="2687" spans="9:10" x14ac:dyDescent="0.3">
      <c r="I2687" s="72">
        <v>1342.5</v>
      </c>
      <c r="J2687" s="70">
        <v>0.98713235294117629</v>
      </c>
    </row>
    <row r="2688" spans="9:10" x14ac:dyDescent="0.3">
      <c r="I2688" s="72">
        <v>1343</v>
      </c>
      <c r="J2688" s="70">
        <v>0.98713235294117629</v>
      </c>
    </row>
    <row r="2689" spans="9:10" x14ac:dyDescent="0.3">
      <c r="I2689" s="72">
        <v>1343.5</v>
      </c>
      <c r="J2689" s="70">
        <v>0.98713235294117629</v>
      </c>
    </row>
    <row r="2690" spans="9:10" x14ac:dyDescent="0.3">
      <c r="I2690" s="72">
        <v>1344</v>
      </c>
      <c r="J2690" s="70">
        <v>0.98713235294117629</v>
      </c>
    </row>
    <row r="2691" spans="9:10" x14ac:dyDescent="0.3">
      <c r="I2691" s="72">
        <v>1344.5</v>
      </c>
      <c r="J2691" s="70">
        <v>0.98713235294117629</v>
      </c>
    </row>
    <row r="2692" spans="9:10" x14ac:dyDescent="0.3">
      <c r="I2692" s="72">
        <v>1345</v>
      </c>
      <c r="J2692" s="70">
        <v>0.98713235294117629</v>
      </c>
    </row>
    <row r="2693" spans="9:10" x14ac:dyDescent="0.3">
      <c r="I2693" s="72">
        <v>1345.5</v>
      </c>
      <c r="J2693" s="70">
        <v>0.98713235294117629</v>
      </c>
    </row>
    <row r="2694" spans="9:10" x14ac:dyDescent="0.3">
      <c r="I2694" s="72">
        <v>1346</v>
      </c>
      <c r="J2694" s="70">
        <v>0.98713235294117629</v>
      </c>
    </row>
    <row r="2695" spans="9:10" x14ac:dyDescent="0.3">
      <c r="I2695" s="72">
        <v>1346.5</v>
      </c>
      <c r="J2695" s="70">
        <v>0.98713235294117629</v>
      </c>
    </row>
    <row r="2696" spans="9:10" x14ac:dyDescent="0.3">
      <c r="I2696" s="72">
        <v>1347</v>
      </c>
      <c r="J2696" s="70">
        <v>0.98713235294117629</v>
      </c>
    </row>
    <row r="2697" spans="9:10" x14ac:dyDescent="0.3">
      <c r="I2697" s="72">
        <v>1347.5</v>
      </c>
      <c r="J2697" s="70">
        <v>0.98713235294117629</v>
      </c>
    </row>
    <row r="2698" spans="9:10" x14ac:dyDescent="0.3">
      <c r="I2698" s="72">
        <v>1348</v>
      </c>
      <c r="J2698" s="70">
        <v>0.98713235294117629</v>
      </c>
    </row>
    <row r="2699" spans="9:10" x14ac:dyDescent="0.3">
      <c r="I2699" s="72">
        <v>1348.5</v>
      </c>
      <c r="J2699" s="70">
        <v>0.98713235294117629</v>
      </c>
    </row>
    <row r="2700" spans="9:10" x14ac:dyDescent="0.3">
      <c r="I2700" s="72">
        <v>1349</v>
      </c>
      <c r="J2700" s="70">
        <v>0.98713235294117629</v>
      </c>
    </row>
    <row r="2701" spans="9:10" x14ac:dyDescent="0.3">
      <c r="I2701" s="72">
        <v>1349.5</v>
      </c>
      <c r="J2701" s="70">
        <v>0.98713235294117629</v>
      </c>
    </row>
    <row r="2702" spans="9:10" x14ac:dyDescent="0.3">
      <c r="I2702" s="72">
        <v>1350</v>
      </c>
      <c r="J2702" s="70">
        <v>0.98713235294117629</v>
      </c>
    </row>
    <row r="2703" spans="9:10" x14ac:dyDescent="0.3">
      <c r="I2703" s="72">
        <v>1350.5</v>
      </c>
      <c r="J2703" s="70">
        <v>0.98713235294117629</v>
      </c>
    </row>
    <row r="2704" spans="9:10" x14ac:dyDescent="0.3">
      <c r="I2704" s="72">
        <v>1351</v>
      </c>
      <c r="J2704" s="70">
        <v>0.98713235294117629</v>
      </c>
    </row>
    <row r="2705" spans="9:10" x14ac:dyDescent="0.3">
      <c r="I2705" s="72">
        <v>1351.5</v>
      </c>
      <c r="J2705" s="70">
        <v>0.98713235294117629</v>
      </c>
    </row>
    <row r="2706" spans="9:10" x14ac:dyDescent="0.3">
      <c r="I2706" s="72">
        <v>1352</v>
      </c>
      <c r="J2706" s="70">
        <v>0.98713235294117629</v>
      </c>
    </row>
    <row r="2707" spans="9:10" x14ac:dyDescent="0.3">
      <c r="I2707" s="72">
        <v>1352.5</v>
      </c>
      <c r="J2707" s="70">
        <v>0.98713235294117629</v>
      </c>
    </row>
    <row r="2708" spans="9:10" x14ac:dyDescent="0.3">
      <c r="I2708" s="72">
        <v>1353</v>
      </c>
      <c r="J2708" s="70">
        <v>0.98713235294117629</v>
      </c>
    </row>
    <row r="2709" spans="9:10" x14ac:dyDescent="0.3">
      <c r="I2709" s="72">
        <v>1353.5</v>
      </c>
      <c r="J2709" s="70">
        <v>0.98713235294117629</v>
      </c>
    </row>
    <row r="2710" spans="9:10" x14ac:dyDescent="0.3">
      <c r="I2710" s="72">
        <v>1354</v>
      </c>
      <c r="J2710" s="70">
        <v>0.98897058823529405</v>
      </c>
    </row>
    <row r="2711" spans="9:10" x14ac:dyDescent="0.3">
      <c r="I2711" s="72">
        <v>1354.5</v>
      </c>
      <c r="J2711" s="70">
        <v>0.98897058823529405</v>
      </c>
    </row>
    <row r="2712" spans="9:10" x14ac:dyDescent="0.3">
      <c r="I2712" s="72">
        <v>1355</v>
      </c>
      <c r="J2712" s="70">
        <v>0.98897058823529405</v>
      </c>
    </row>
    <row r="2713" spans="9:10" x14ac:dyDescent="0.3">
      <c r="I2713" s="72">
        <v>1355.5</v>
      </c>
      <c r="J2713" s="70">
        <v>0.98897058823529405</v>
      </c>
    </row>
    <row r="2714" spans="9:10" x14ac:dyDescent="0.3">
      <c r="I2714" s="72">
        <v>1356</v>
      </c>
      <c r="J2714" s="70">
        <v>0.98897058823529405</v>
      </c>
    </row>
    <row r="2715" spans="9:10" x14ac:dyDescent="0.3">
      <c r="I2715" s="72">
        <v>1356.5</v>
      </c>
      <c r="J2715" s="70">
        <v>0.98897058823529405</v>
      </c>
    </row>
    <row r="2716" spans="9:10" x14ac:dyDescent="0.3">
      <c r="I2716" s="72">
        <v>1357</v>
      </c>
      <c r="J2716" s="70">
        <v>0.98897058823529405</v>
      </c>
    </row>
    <row r="2717" spans="9:10" x14ac:dyDescent="0.3">
      <c r="I2717" s="72">
        <v>1357.5</v>
      </c>
      <c r="J2717" s="70">
        <v>0.98897058823529405</v>
      </c>
    </row>
    <row r="2718" spans="9:10" x14ac:dyDescent="0.3">
      <c r="I2718" s="72">
        <v>1358</v>
      </c>
      <c r="J2718" s="70">
        <v>0.98897058823529405</v>
      </c>
    </row>
    <row r="2719" spans="9:10" x14ac:dyDescent="0.3">
      <c r="I2719" s="72">
        <v>1358.5</v>
      </c>
      <c r="J2719" s="70">
        <v>0.98897058823529405</v>
      </c>
    </row>
    <row r="2720" spans="9:10" x14ac:dyDescent="0.3">
      <c r="I2720" s="72">
        <v>1359</v>
      </c>
      <c r="J2720" s="70">
        <v>0.98897058823529405</v>
      </c>
    </row>
    <row r="2721" spans="9:10" x14ac:dyDescent="0.3">
      <c r="I2721" s="72">
        <v>1359.5</v>
      </c>
      <c r="J2721" s="70">
        <v>0.98897058823529405</v>
      </c>
    </row>
    <row r="2722" spans="9:10" x14ac:dyDescent="0.3">
      <c r="I2722" s="72">
        <v>1360</v>
      </c>
      <c r="J2722" s="70">
        <v>0.98897058823529405</v>
      </c>
    </row>
    <row r="2723" spans="9:10" x14ac:dyDescent="0.3">
      <c r="I2723" s="72">
        <v>1360.5</v>
      </c>
      <c r="J2723" s="70">
        <v>0.98897058823529405</v>
      </c>
    </row>
    <row r="2724" spans="9:10" x14ac:dyDescent="0.3">
      <c r="I2724" s="72">
        <v>1361</v>
      </c>
      <c r="J2724" s="70">
        <v>0.98897058823529405</v>
      </c>
    </row>
    <row r="2725" spans="9:10" x14ac:dyDescent="0.3">
      <c r="I2725" s="72">
        <v>1361.5</v>
      </c>
      <c r="J2725" s="70">
        <v>0.98897058823529405</v>
      </c>
    </row>
    <row r="2726" spans="9:10" x14ac:dyDescent="0.3">
      <c r="I2726" s="72">
        <v>1362</v>
      </c>
      <c r="J2726" s="70">
        <v>0.98897058823529405</v>
      </c>
    </row>
    <row r="2727" spans="9:10" x14ac:dyDescent="0.3">
      <c r="I2727" s="72">
        <v>1362.5</v>
      </c>
      <c r="J2727" s="70">
        <v>0.98897058823529405</v>
      </c>
    </row>
    <row r="2728" spans="9:10" x14ac:dyDescent="0.3">
      <c r="I2728" s="72">
        <v>1363</v>
      </c>
      <c r="J2728" s="70">
        <v>0.98897058823529405</v>
      </c>
    </row>
    <row r="2729" spans="9:10" x14ac:dyDescent="0.3">
      <c r="I2729" s="72">
        <v>1363.5</v>
      </c>
      <c r="J2729" s="70">
        <v>0.98897058823529405</v>
      </c>
    </row>
    <row r="2730" spans="9:10" x14ac:dyDescent="0.3">
      <c r="I2730" s="72">
        <v>1364</v>
      </c>
      <c r="J2730" s="70">
        <v>0.98897058823529405</v>
      </c>
    </row>
    <row r="2731" spans="9:10" x14ac:dyDescent="0.3">
      <c r="I2731" s="72">
        <v>1364.5</v>
      </c>
      <c r="J2731" s="70">
        <v>0.98897058823529405</v>
      </c>
    </row>
    <row r="2732" spans="9:10" x14ac:dyDescent="0.3">
      <c r="I2732" s="72">
        <v>1365</v>
      </c>
      <c r="J2732" s="70">
        <v>0.98897058823529405</v>
      </c>
    </row>
    <row r="2733" spans="9:10" x14ac:dyDescent="0.3">
      <c r="I2733" s="72">
        <v>1365.5</v>
      </c>
      <c r="J2733" s="70">
        <v>0.98897058823529405</v>
      </c>
    </row>
    <row r="2734" spans="9:10" x14ac:dyDescent="0.3">
      <c r="I2734" s="72">
        <v>1366</v>
      </c>
      <c r="J2734" s="70">
        <v>0.98897058823529405</v>
      </c>
    </row>
    <row r="2735" spans="9:10" x14ac:dyDescent="0.3">
      <c r="I2735" s="72">
        <v>1366.5</v>
      </c>
      <c r="J2735" s="70">
        <v>0.98897058823529405</v>
      </c>
    </row>
    <row r="2736" spans="9:10" x14ac:dyDescent="0.3">
      <c r="I2736" s="72">
        <v>1367</v>
      </c>
      <c r="J2736" s="70">
        <v>0.98897058823529405</v>
      </c>
    </row>
    <row r="2737" spans="9:10" x14ac:dyDescent="0.3">
      <c r="I2737" s="72">
        <v>1367.5</v>
      </c>
      <c r="J2737" s="70">
        <v>0.98897058823529405</v>
      </c>
    </row>
    <row r="2738" spans="9:10" x14ac:dyDescent="0.3">
      <c r="I2738" s="72">
        <v>1368</v>
      </c>
      <c r="J2738" s="70">
        <v>0.98897058823529405</v>
      </c>
    </row>
    <row r="2739" spans="9:10" x14ac:dyDescent="0.3">
      <c r="I2739" s="72">
        <v>1368.5</v>
      </c>
      <c r="J2739" s="70">
        <v>0.98897058823529405</v>
      </c>
    </row>
    <row r="2740" spans="9:10" x14ac:dyDescent="0.3">
      <c r="I2740" s="72">
        <v>1369</v>
      </c>
      <c r="J2740" s="70">
        <v>0.98897058823529405</v>
      </c>
    </row>
    <row r="2741" spans="9:10" x14ac:dyDescent="0.3">
      <c r="I2741" s="72">
        <v>1369.5</v>
      </c>
      <c r="J2741" s="70">
        <v>0.98897058823529405</v>
      </c>
    </row>
    <row r="2742" spans="9:10" x14ac:dyDescent="0.3">
      <c r="I2742" s="72">
        <v>1370</v>
      </c>
      <c r="J2742" s="70">
        <v>0.98897058823529405</v>
      </c>
    </row>
    <row r="2743" spans="9:10" x14ac:dyDescent="0.3">
      <c r="I2743" s="72">
        <v>1370.5</v>
      </c>
      <c r="J2743" s="70">
        <v>0.98897058823529405</v>
      </c>
    </row>
    <row r="2744" spans="9:10" x14ac:dyDescent="0.3">
      <c r="I2744" s="72">
        <v>1371</v>
      </c>
      <c r="J2744" s="70">
        <v>0.98897058823529405</v>
      </c>
    </row>
    <row r="2745" spans="9:10" x14ac:dyDescent="0.3">
      <c r="I2745" s="72">
        <v>1371.5</v>
      </c>
      <c r="J2745" s="70">
        <v>0.98897058823529405</v>
      </c>
    </row>
    <row r="2746" spans="9:10" x14ac:dyDescent="0.3">
      <c r="I2746" s="72">
        <v>1372</v>
      </c>
      <c r="J2746" s="70">
        <v>0.98897058823529405</v>
      </c>
    </row>
    <row r="2747" spans="9:10" x14ac:dyDescent="0.3">
      <c r="I2747" s="72">
        <v>1372.5</v>
      </c>
      <c r="J2747" s="70">
        <v>0.98897058823529405</v>
      </c>
    </row>
    <row r="2748" spans="9:10" x14ac:dyDescent="0.3">
      <c r="I2748" s="72">
        <v>1373</v>
      </c>
      <c r="J2748" s="70">
        <v>0.98897058823529405</v>
      </c>
    </row>
    <row r="2749" spans="9:10" x14ac:dyDescent="0.3">
      <c r="I2749" s="72">
        <v>1373.5</v>
      </c>
      <c r="J2749" s="70">
        <v>0.98897058823529405</v>
      </c>
    </row>
    <row r="2750" spans="9:10" x14ac:dyDescent="0.3">
      <c r="I2750" s="72">
        <v>1374</v>
      </c>
      <c r="J2750" s="70">
        <v>0.98897058823529405</v>
      </c>
    </row>
    <row r="2751" spans="9:10" x14ac:dyDescent="0.3">
      <c r="I2751" s="72">
        <v>1374.5</v>
      </c>
      <c r="J2751" s="70">
        <v>0.98897058823529405</v>
      </c>
    </row>
    <row r="2752" spans="9:10" x14ac:dyDescent="0.3">
      <c r="I2752" s="72">
        <v>1375</v>
      </c>
      <c r="J2752" s="70">
        <v>0.98897058823529405</v>
      </c>
    </row>
    <row r="2753" spans="9:10" x14ac:dyDescent="0.3">
      <c r="I2753" s="72">
        <v>1375.5</v>
      </c>
      <c r="J2753" s="70">
        <v>0.98897058823529405</v>
      </c>
    </row>
    <row r="2754" spans="9:10" x14ac:dyDescent="0.3">
      <c r="I2754" s="72">
        <v>1376</v>
      </c>
      <c r="J2754" s="70">
        <v>0.98897058823529405</v>
      </c>
    </row>
    <row r="2755" spans="9:10" x14ac:dyDescent="0.3">
      <c r="I2755" s="72">
        <v>1376.5</v>
      </c>
      <c r="J2755" s="70">
        <v>0.98897058823529405</v>
      </c>
    </row>
    <row r="2756" spans="9:10" x14ac:dyDescent="0.3">
      <c r="I2756" s="72">
        <v>1377</v>
      </c>
      <c r="J2756" s="70">
        <v>0.98897058823529405</v>
      </c>
    </row>
    <row r="2757" spans="9:10" x14ac:dyDescent="0.3">
      <c r="I2757" s="72">
        <v>1377.5</v>
      </c>
      <c r="J2757" s="70">
        <v>0.98897058823529405</v>
      </c>
    </row>
    <row r="2758" spans="9:10" x14ac:dyDescent="0.3">
      <c r="I2758" s="72">
        <v>1378</v>
      </c>
      <c r="J2758" s="70">
        <v>0.98897058823529405</v>
      </c>
    </row>
    <row r="2759" spans="9:10" x14ac:dyDescent="0.3">
      <c r="I2759" s="72">
        <v>1378.5</v>
      </c>
      <c r="J2759" s="70">
        <v>0.98897058823529405</v>
      </c>
    </row>
    <row r="2760" spans="9:10" x14ac:dyDescent="0.3">
      <c r="I2760" s="72">
        <v>1379</v>
      </c>
      <c r="J2760" s="70">
        <v>0.98897058823529405</v>
      </c>
    </row>
    <row r="2761" spans="9:10" x14ac:dyDescent="0.3">
      <c r="I2761" s="72">
        <v>1379.5</v>
      </c>
      <c r="J2761" s="70">
        <v>0.98897058823529405</v>
      </c>
    </row>
    <row r="2762" spans="9:10" x14ac:dyDescent="0.3">
      <c r="I2762" s="72">
        <v>1380</v>
      </c>
      <c r="J2762" s="70">
        <v>0.98897058823529405</v>
      </c>
    </row>
    <row r="2763" spans="9:10" x14ac:dyDescent="0.3">
      <c r="I2763" s="72">
        <v>1380.5</v>
      </c>
      <c r="J2763" s="70">
        <v>0.98897058823529405</v>
      </c>
    </row>
    <row r="2764" spans="9:10" x14ac:dyDescent="0.3">
      <c r="I2764" s="72">
        <v>1381</v>
      </c>
      <c r="J2764" s="70">
        <v>0.98897058823529405</v>
      </c>
    </row>
    <row r="2765" spans="9:10" x14ac:dyDescent="0.3">
      <c r="I2765" s="72">
        <v>1381.5</v>
      </c>
      <c r="J2765" s="70">
        <v>0.98897058823529405</v>
      </c>
    </row>
    <row r="2766" spans="9:10" x14ac:dyDescent="0.3">
      <c r="I2766" s="72">
        <v>1382</v>
      </c>
      <c r="J2766" s="70">
        <v>0.98897058823529405</v>
      </c>
    </row>
    <row r="2767" spans="9:10" x14ac:dyDescent="0.3">
      <c r="I2767" s="72">
        <v>1382.5</v>
      </c>
      <c r="J2767" s="70">
        <v>0.98897058823529405</v>
      </c>
    </row>
    <row r="2768" spans="9:10" x14ac:dyDescent="0.3">
      <c r="I2768" s="72">
        <v>1383</v>
      </c>
      <c r="J2768" s="70">
        <v>0.98897058823529405</v>
      </c>
    </row>
    <row r="2769" spans="9:10" x14ac:dyDescent="0.3">
      <c r="I2769" s="72">
        <v>1383.5</v>
      </c>
      <c r="J2769" s="70">
        <v>0.98897058823529405</v>
      </c>
    </row>
    <row r="2770" spans="9:10" x14ac:dyDescent="0.3">
      <c r="I2770" s="72">
        <v>1384</v>
      </c>
      <c r="J2770" s="70">
        <v>0.98897058823529405</v>
      </c>
    </row>
    <row r="2771" spans="9:10" x14ac:dyDescent="0.3">
      <c r="I2771" s="72">
        <v>1384.5</v>
      </c>
      <c r="J2771" s="70">
        <v>0.98897058823529405</v>
      </c>
    </row>
    <row r="2772" spans="9:10" x14ac:dyDescent="0.3">
      <c r="I2772" s="72">
        <v>1385</v>
      </c>
      <c r="J2772" s="70">
        <v>0.98897058823529405</v>
      </c>
    </row>
    <row r="2773" spans="9:10" x14ac:dyDescent="0.3">
      <c r="I2773" s="72">
        <v>1385.5</v>
      </c>
      <c r="J2773" s="70">
        <v>0.98897058823529405</v>
      </c>
    </row>
    <row r="2774" spans="9:10" x14ac:dyDescent="0.3">
      <c r="I2774" s="72">
        <v>1386</v>
      </c>
      <c r="J2774" s="70">
        <v>0.98897058823529405</v>
      </c>
    </row>
    <row r="2775" spans="9:10" x14ac:dyDescent="0.3">
      <c r="I2775" s="72">
        <v>1386.5</v>
      </c>
      <c r="J2775" s="70">
        <v>0.98897058823529405</v>
      </c>
    </row>
    <row r="2776" spans="9:10" x14ac:dyDescent="0.3">
      <c r="I2776" s="72">
        <v>1387</v>
      </c>
      <c r="J2776" s="70">
        <v>0.98897058823529405</v>
      </c>
    </row>
    <row r="2777" spans="9:10" x14ac:dyDescent="0.3">
      <c r="I2777" s="72">
        <v>1387.5</v>
      </c>
      <c r="J2777" s="70">
        <v>0.98897058823529405</v>
      </c>
    </row>
    <row r="2778" spans="9:10" x14ac:dyDescent="0.3">
      <c r="I2778" s="72">
        <v>1388</v>
      </c>
      <c r="J2778" s="70">
        <v>0.98897058823529405</v>
      </c>
    </row>
    <row r="2779" spans="9:10" x14ac:dyDescent="0.3">
      <c r="I2779" s="72">
        <v>1388.5</v>
      </c>
      <c r="J2779" s="70">
        <v>0.98897058823529405</v>
      </c>
    </row>
    <row r="2780" spans="9:10" x14ac:dyDescent="0.3">
      <c r="I2780" s="72">
        <v>1389</v>
      </c>
      <c r="J2780" s="70">
        <v>0.98897058823529405</v>
      </c>
    </row>
    <row r="2781" spans="9:10" x14ac:dyDescent="0.3">
      <c r="I2781" s="72">
        <v>1389.5</v>
      </c>
      <c r="J2781" s="70">
        <v>0.98897058823529405</v>
      </c>
    </row>
    <row r="2782" spans="9:10" x14ac:dyDescent="0.3">
      <c r="I2782" s="72">
        <v>1390</v>
      </c>
      <c r="J2782" s="70">
        <v>0.98897058823529405</v>
      </c>
    </row>
    <row r="2783" spans="9:10" x14ac:dyDescent="0.3">
      <c r="I2783" s="72">
        <v>1390.5</v>
      </c>
      <c r="J2783" s="70">
        <v>0.98897058823529405</v>
      </c>
    </row>
    <row r="2784" spans="9:10" x14ac:dyDescent="0.3">
      <c r="I2784" s="72">
        <v>1391</v>
      </c>
      <c r="J2784" s="70">
        <v>0.98897058823529405</v>
      </c>
    </row>
    <row r="2785" spans="9:10" x14ac:dyDescent="0.3">
      <c r="I2785" s="72">
        <v>1391.5</v>
      </c>
      <c r="J2785" s="70">
        <v>0.98897058823529405</v>
      </c>
    </row>
    <row r="2786" spans="9:10" x14ac:dyDescent="0.3">
      <c r="I2786" s="72">
        <v>1392</v>
      </c>
      <c r="J2786" s="70">
        <v>0.98897058823529405</v>
      </c>
    </row>
    <row r="2787" spans="9:10" x14ac:dyDescent="0.3">
      <c r="I2787" s="72">
        <v>1392.5</v>
      </c>
      <c r="J2787" s="70">
        <v>0.98897058823529405</v>
      </c>
    </row>
    <row r="2788" spans="9:10" x14ac:dyDescent="0.3">
      <c r="I2788" s="72">
        <v>1393</v>
      </c>
      <c r="J2788" s="70">
        <v>0.98897058823529405</v>
      </c>
    </row>
    <row r="2789" spans="9:10" x14ac:dyDescent="0.3">
      <c r="I2789" s="72">
        <v>1393.5</v>
      </c>
      <c r="J2789" s="70">
        <v>0.98897058823529405</v>
      </c>
    </row>
    <row r="2790" spans="9:10" x14ac:dyDescent="0.3">
      <c r="I2790" s="72">
        <v>1394</v>
      </c>
      <c r="J2790" s="70">
        <v>0.98897058823529405</v>
      </c>
    </row>
    <row r="2791" spans="9:10" x14ac:dyDescent="0.3">
      <c r="I2791" s="72">
        <v>1394.5</v>
      </c>
      <c r="J2791" s="70">
        <v>0.98897058823529405</v>
      </c>
    </row>
    <row r="2792" spans="9:10" x14ac:dyDescent="0.3">
      <c r="I2792" s="72">
        <v>1395</v>
      </c>
      <c r="J2792" s="70">
        <v>0.98897058823529405</v>
      </c>
    </row>
    <row r="2793" spans="9:10" x14ac:dyDescent="0.3">
      <c r="I2793" s="72">
        <v>1395.5</v>
      </c>
      <c r="J2793" s="70">
        <v>0.98897058823529405</v>
      </c>
    </row>
    <row r="2794" spans="9:10" x14ac:dyDescent="0.3">
      <c r="I2794" s="72">
        <v>1396</v>
      </c>
      <c r="J2794" s="70">
        <v>0.98897058823529405</v>
      </c>
    </row>
    <row r="2795" spans="9:10" x14ac:dyDescent="0.3">
      <c r="I2795" s="72">
        <v>1396.5</v>
      </c>
      <c r="J2795" s="70">
        <v>0.98897058823529405</v>
      </c>
    </row>
    <row r="2796" spans="9:10" x14ac:dyDescent="0.3">
      <c r="I2796" s="72">
        <v>1397</v>
      </c>
      <c r="J2796" s="70">
        <v>0.98897058823529405</v>
      </c>
    </row>
    <row r="2797" spans="9:10" x14ac:dyDescent="0.3">
      <c r="I2797" s="72">
        <v>1397.5</v>
      </c>
      <c r="J2797" s="70">
        <v>0.98897058823529405</v>
      </c>
    </row>
    <row r="2798" spans="9:10" x14ac:dyDescent="0.3">
      <c r="I2798" s="72">
        <v>1398</v>
      </c>
      <c r="J2798" s="70">
        <v>0.98897058823529405</v>
      </c>
    </row>
    <row r="2799" spans="9:10" x14ac:dyDescent="0.3">
      <c r="I2799" s="72">
        <v>1398.5</v>
      </c>
      <c r="J2799" s="70">
        <v>0.98897058823529405</v>
      </c>
    </row>
    <row r="2800" spans="9:10" x14ac:dyDescent="0.3">
      <c r="I2800" s="72">
        <v>1399</v>
      </c>
      <c r="J2800" s="70">
        <v>0.98897058823529405</v>
      </c>
    </row>
    <row r="2801" spans="9:10" x14ac:dyDescent="0.3">
      <c r="I2801" s="72">
        <v>1399.5</v>
      </c>
      <c r="J2801" s="70">
        <v>0.98897058823529405</v>
      </c>
    </row>
    <row r="2802" spans="9:10" x14ac:dyDescent="0.3">
      <c r="I2802" s="72">
        <v>1400</v>
      </c>
      <c r="J2802" s="70">
        <v>0.98897058823529405</v>
      </c>
    </row>
    <row r="2803" spans="9:10" x14ac:dyDescent="0.3">
      <c r="I2803" s="72">
        <v>1400.5</v>
      </c>
      <c r="J2803" s="70">
        <v>0.98897058823529405</v>
      </c>
    </row>
    <row r="2804" spans="9:10" x14ac:dyDescent="0.3">
      <c r="I2804" s="72">
        <v>1401</v>
      </c>
      <c r="J2804" s="70">
        <v>0.98897058823529405</v>
      </c>
    </row>
    <row r="2805" spans="9:10" x14ac:dyDescent="0.3">
      <c r="I2805" s="72">
        <v>1401.5</v>
      </c>
      <c r="J2805" s="70">
        <v>0.98897058823529405</v>
      </c>
    </row>
    <row r="2806" spans="9:10" x14ac:dyDescent="0.3">
      <c r="I2806" s="72">
        <v>1402</v>
      </c>
      <c r="J2806" s="70">
        <v>0.98897058823529405</v>
      </c>
    </row>
    <row r="2807" spans="9:10" x14ac:dyDescent="0.3">
      <c r="I2807" s="72">
        <v>1402.5</v>
      </c>
      <c r="J2807" s="70">
        <v>0.98897058823529405</v>
      </c>
    </row>
    <row r="2808" spans="9:10" x14ac:dyDescent="0.3">
      <c r="I2808" s="72">
        <v>1403</v>
      </c>
      <c r="J2808" s="70">
        <v>0.98897058823529405</v>
      </c>
    </row>
    <row r="2809" spans="9:10" x14ac:dyDescent="0.3">
      <c r="I2809" s="72">
        <v>1403.5</v>
      </c>
      <c r="J2809" s="70">
        <v>0.98897058823529405</v>
      </c>
    </row>
    <row r="2810" spans="9:10" x14ac:dyDescent="0.3">
      <c r="I2810" s="72">
        <v>1404</v>
      </c>
      <c r="J2810" s="70">
        <v>0.98897058823529405</v>
      </c>
    </row>
    <row r="2811" spans="9:10" x14ac:dyDescent="0.3">
      <c r="I2811" s="72">
        <v>1404.5</v>
      </c>
      <c r="J2811" s="70">
        <v>0.98897058823529405</v>
      </c>
    </row>
    <row r="2812" spans="9:10" x14ac:dyDescent="0.3">
      <c r="I2812" s="72">
        <v>1405</v>
      </c>
      <c r="J2812" s="70">
        <v>0.98897058823529405</v>
      </c>
    </row>
    <row r="2813" spans="9:10" x14ac:dyDescent="0.3">
      <c r="I2813" s="72">
        <v>1405.5</v>
      </c>
      <c r="J2813" s="70">
        <v>0.98897058823529405</v>
      </c>
    </row>
    <row r="2814" spans="9:10" x14ac:dyDescent="0.3">
      <c r="I2814" s="72">
        <v>1406</v>
      </c>
      <c r="J2814" s="70">
        <v>0.98897058823529405</v>
      </c>
    </row>
    <row r="2815" spans="9:10" x14ac:dyDescent="0.3">
      <c r="I2815" s="72">
        <v>1406.5</v>
      </c>
      <c r="J2815" s="70">
        <v>0.98897058823529405</v>
      </c>
    </row>
    <row r="2816" spans="9:10" x14ac:dyDescent="0.3">
      <c r="I2816" s="72">
        <v>1407</v>
      </c>
      <c r="J2816" s="70">
        <v>0.98897058823529405</v>
      </c>
    </row>
    <row r="2817" spans="9:10" x14ac:dyDescent="0.3">
      <c r="I2817" s="72">
        <v>1407.5</v>
      </c>
      <c r="J2817" s="70">
        <v>0.98897058823529405</v>
      </c>
    </row>
    <row r="2818" spans="9:10" x14ac:dyDescent="0.3">
      <c r="I2818" s="72">
        <v>1408</v>
      </c>
      <c r="J2818" s="70">
        <v>0.98897058823529405</v>
      </c>
    </row>
    <row r="2819" spans="9:10" x14ac:dyDescent="0.3">
      <c r="I2819" s="72">
        <v>1408.5</v>
      </c>
      <c r="J2819" s="70">
        <v>0.98897058823529405</v>
      </c>
    </row>
    <row r="2820" spans="9:10" x14ac:dyDescent="0.3">
      <c r="I2820" s="72">
        <v>1409</v>
      </c>
      <c r="J2820" s="70">
        <v>0.98897058823529405</v>
      </c>
    </row>
    <row r="2821" spans="9:10" x14ac:dyDescent="0.3">
      <c r="I2821" s="72">
        <v>1409.5</v>
      </c>
      <c r="J2821" s="70">
        <v>0.98897058823529405</v>
      </c>
    </row>
    <row r="2822" spans="9:10" x14ac:dyDescent="0.3">
      <c r="I2822" s="72">
        <v>1410</v>
      </c>
      <c r="J2822" s="70">
        <v>0.98897058823529405</v>
      </c>
    </row>
    <row r="2823" spans="9:10" x14ac:dyDescent="0.3">
      <c r="I2823" s="72">
        <v>1410.5</v>
      </c>
      <c r="J2823" s="70">
        <v>0.98897058823529405</v>
      </c>
    </row>
    <row r="2824" spans="9:10" x14ac:dyDescent="0.3">
      <c r="I2824" s="72">
        <v>1411</v>
      </c>
      <c r="J2824" s="70">
        <v>0.98897058823529405</v>
      </c>
    </row>
    <row r="2825" spans="9:10" x14ac:dyDescent="0.3">
      <c r="I2825" s="72">
        <v>1411.5</v>
      </c>
      <c r="J2825" s="70">
        <v>0.98897058823529405</v>
      </c>
    </row>
    <row r="2826" spans="9:10" x14ac:dyDescent="0.3">
      <c r="I2826" s="72">
        <v>1412</v>
      </c>
      <c r="J2826" s="70">
        <v>0.98897058823529405</v>
      </c>
    </row>
    <row r="2827" spans="9:10" x14ac:dyDescent="0.3">
      <c r="I2827" s="72">
        <v>1412.5</v>
      </c>
      <c r="J2827" s="70">
        <v>0.98897058823529405</v>
      </c>
    </row>
    <row r="2828" spans="9:10" x14ac:dyDescent="0.3">
      <c r="I2828" s="72">
        <v>1413</v>
      </c>
      <c r="J2828" s="70">
        <v>0.98897058823529405</v>
      </c>
    </row>
    <row r="2829" spans="9:10" x14ac:dyDescent="0.3">
      <c r="I2829" s="72">
        <v>1413.5</v>
      </c>
      <c r="J2829" s="70">
        <v>0.98897058823529405</v>
      </c>
    </row>
    <row r="2830" spans="9:10" x14ac:dyDescent="0.3">
      <c r="I2830" s="72">
        <v>1414</v>
      </c>
      <c r="J2830" s="70">
        <v>0.98897058823529405</v>
      </c>
    </row>
    <row r="2831" spans="9:10" x14ac:dyDescent="0.3">
      <c r="I2831" s="72">
        <v>1414.5</v>
      </c>
      <c r="J2831" s="70">
        <v>0.98897058823529405</v>
      </c>
    </row>
    <row r="2832" spans="9:10" x14ac:dyDescent="0.3">
      <c r="I2832" s="72">
        <v>1415</v>
      </c>
      <c r="J2832" s="70">
        <v>0.98897058823529405</v>
      </c>
    </row>
    <row r="2833" spans="9:10" x14ac:dyDescent="0.3">
      <c r="I2833" s="72">
        <v>1415.5</v>
      </c>
      <c r="J2833" s="70">
        <v>0.98897058823529405</v>
      </c>
    </row>
    <row r="2834" spans="9:10" x14ac:dyDescent="0.3">
      <c r="I2834" s="72">
        <v>1416</v>
      </c>
      <c r="J2834" s="70">
        <v>0.98897058823529405</v>
      </c>
    </row>
    <row r="2835" spans="9:10" x14ac:dyDescent="0.3">
      <c r="I2835" s="72">
        <v>1416.5</v>
      </c>
      <c r="J2835" s="70">
        <v>0.98897058823529405</v>
      </c>
    </row>
    <row r="2836" spans="9:10" x14ac:dyDescent="0.3">
      <c r="I2836" s="72">
        <v>1417</v>
      </c>
      <c r="J2836" s="70">
        <v>0.98897058823529405</v>
      </c>
    </row>
    <row r="2837" spans="9:10" x14ac:dyDescent="0.3">
      <c r="I2837" s="72">
        <v>1417.5</v>
      </c>
      <c r="J2837" s="70">
        <v>0.98897058823529405</v>
      </c>
    </row>
    <row r="2838" spans="9:10" x14ac:dyDescent="0.3">
      <c r="I2838" s="72">
        <v>1418</v>
      </c>
      <c r="J2838" s="70">
        <v>0.98897058823529405</v>
      </c>
    </row>
    <row r="2839" spans="9:10" x14ac:dyDescent="0.3">
      <c r="I2839" s="72">
        <v>1418.5</v>
      </c>
      <c r="J2839" s="70">
        <v>0.98897058823529405</v>
      </c>
    </row>
    <row r="2840" spans="9:10" x14ac:dyDescent="0.3">
      <c r="I2840" s="72">
        <v>1419</v>
      </c>
      <c r="J2840" s="70">
        <v>0.98897058823529405</v>
      </c>
    </row>
    <row r="2841" spans="9:10" x14ac:dyDescent="0.3">
      <c r="I2841" s="72">
        <v>1419.5</v>
      </c>
      <c r="J2841" s="70">
        <v>0.98897058823529405</v>
      </c>
    </row>
    <row r="2842" spans="9:10" x14ac:dyDescent="0.3">
      <c r="I2842" s="72">
        <v>1420</v>
      </c>
      <c r="J2842" s="70">
        <v>0.98897058823529405</v>
      </c>
    </row>
    <row r="2843" spans="9:10" x14ac:dyDescent="0.3">
      <c r="I2843" s="72">
        <v>1420.5</v>
      </c>
      <c r="J2843" s="70">
        <v>0.98897058823529405</v>
      </c>
    </row>
    <row r="2844" spans="9:10" x14ac:dyDescent="0.3">
      <c r="I2844" s="72">
        <v>1421</v>
      </c>
      <c r="J2844" s="70">
        <v>0.98897058823529405</v>
      </c>
    </row>
    <row r="2845" spans="9:10" x14ac:dyDescent="0.3">
      <c r="I2845" s="72">
        <v>1421.5</v>
      </c>
      <c r="J2845" s="70">
        <v>0.98897058823529405</v>
      </c>
    </row>
    <row r="2846" spans="9:10" x14ac:dyDescent="0.3">
      <c r="I2846" s="72">
        <v>1422</v>
      </c>
      <c r="J2846" s="70">
        <v>0.98897058823529405</v>
      </c>
    </row>
    <row r="2847" spans="9:10" x14ac:dyDescent="0.3">
      <c r="I2847" s="72">
        <v>1422.5</v>
      </c>
      <c r="J2847" s="70">
        <v>0.98897058823529405</v>
      </c>
    </row>
    <row r="2848" spans="9:10" x14ac:dyDescent="0.3">
      <c r="I2848" s="72">
        <v>1423</v>
      </c>
      <c r="J2848" s="70">
        <v>0.98897058823529405</v>
      </c>
    </row>
    <row r="2849" spans="9:10" x14ac:dyDescent="0.3">
      <c r="I2849" s="72">
        <v>1423.5</v>
      </c>
      <c r="J2849" s="70">
        <v>0.98897058823529405</v>
      </c>
    </row>
    <row r="2850" spans="9:10" x14ac:dyDescent="0.3">
      <c r="I2850" s="72">
        <v>1424</v>
      </c>
      <c r="J2850" s="70">
        <v>0.98897058823529405</v>
      </c>
    </row>
    <row r="2851" spans="9:10" x14ac:dyDescent="0.3">
      <c r="I2851" s="72">
        <v>1424.5</v>
      </c>
      <c r="J2851" s="70">
        <v>0.98897058823529405</v>
      </c>
    </row>
    <row r="2852" spans="9:10" x14ac:dyDescent="0.3">
      <c r="I2852" s="72">
        <v>1425</v>
      </c>
      <c r="J2852" s="70">
        <v>0.98897058823529405</v>
      </c>
    </row>
    <row r="2853" spans="9:10" x14ac:dyDescent="0.3">
      <c r="I2853" s="72">
        <v>1425.5</v>
      </c>
      <c r="J2853" s="70">
        <v>0.98897058823529405</v>
      </c>
    </row>
    <row r="2854" spans="9:10" x14ac:dyDescent="0.3">
      <c r="I2854" s="72">
        <v>1426</v>
      </c>
      <c r="J2854" s="70">
        <v>0.98897058823529405</v>
      </c>
    </row>
    <row r="2855" spans="9:10" x14ac:dyDescent="0.3">
      <c r="I2855" s="72">
        <v>1426.5</v>
      </c>
      <c r="J2855" s="70">
        <v>0.98897058823529405</v>
      </c>
    </row>
    <row r="2856" spans="9:10" x14ac:dyDescent="0.3">
      <c r="I2856" s="72">
        <v>1427</v>
      </c>
      <c r="J2856" s="70">
        <v>0.98897058823529405</v>
      </c>
    </row>
    <row r="2857" spans="9:10" x14ac:dyDescent="0.3">
      <c r="I2857" s="72">
        <v>1427.5</v>
      </c>
      <c r="J2857" s="70">
        <v>0.98897058823529405</v>
      </c>
    </row>
    <row r="2858" spans="9:10" x14ac:dyDescent="0.3">
      <c r="I2858" s="72">
        <v>1428</v>
      </c>
      <c r="J2858" s="70">
        <v>0.98897058823529405</v>
      </c>
    </row>
    <row r="2859" spans="9:10" x14ac:dyDescent="0.3">
      <c r="I2859" s="72">
        <v>1428.5</v>
      </c>
      <c r="J2859" s="70">
        <v>0.98897058823529405</v>
      </c>
    </row>
    <row r="2860" spans="9:10" x14ac:dyDescent="0.3">
      <c r="I2860" s="72">
        <v>1429</v>
      </c>
      <c r="J2860" s="70">
        <v>0.98897058823529405</v>
      </c>
    </row>
    <row r="2861" spans="9:10" x14ac:dyDescent="0.3">
      <c r="I2861" s="72">
        <v>1429.5</v>
      </c>
      <c r="J2861" s="70">
        <v>0.98897058823529405</v>
      </c>
    </row>
    <row r="2862" spans="9:10" x14ac:dyDescent="0.3">
      <c r="I2862" s="72">
        <v>1430</v>
      </c>
      <c r="J2862" s="70">
        <v>0.98897058823529405</v>
      </c>
    </row>
    <row r="2863" spans="9:10" x14ac:dyDescent="0.3">
      <c r="I2863" s="72">
        <v>1430.5</v>
      </c>
      <c r="J2863" s="70">
        <v>0.98897058823529405</v>
      </c>
    </row>
    <row r="2864" spans="9:10" x14ac:dyDescent="0.3">
      <c r="I2864" s="72">
        <v>1431</v>
      </c>
      <c r="J2864" s="70">
        <v>0.98897058823529405</v>
      </c>
    </row>
    <row r="2865" spans="9:10" x14ac:dyDescent="0.3">
      <c r="I2865" s="72">
        <v>1431.5</v>
      </c>
      <c r="J2865" s="70">
        <v>0.98897058823529405</v>
      </c>
    </row>
    <row r="2866" spans="9:10" x14ac:dyDescent="0.3">
      <c r="I2866" s="72">
        <v>1432</v>
      </c>
      <c r="J2866" s="70">
        <v>0.98897058823529405</v>
      </c>
    </row>
    <row r="2867" spans="9:10" x14ac:dyDescent="0.3">
      <c r="I2867" s="72">
        <v>1432.5</v>
      </c>
      <c r="J2867" s="70">
        <v>0.98897058823529405</v>
      </c>
    </row>
    <row r="2868" spans="9:10" x14ac:dyDescent="0.3">
      <c r="I2868" s="72">
        <v>1433</v>
      </c>
      <c r="J2868" s="70">
        <v>0.98897058823529405</v>
      </c>
    </row>
    <row r="2869" spans="9:10" x14ac:dyDescent="0.3">
      <c r="I2869" s="72">
        <v>1433.5</v>
      </c>
      <c r="J2869" s="70">
        <v>0.98897058823529405</v>
      </c>
    </row>
    <row r="2870" spans="9:10" x14ac:dyDescent="0.3">
      <c r="I2870" s="72">
        <v>1434</v>
      </c>
      <c r="J2870" s="70">
        <v>0.98897058823529405</v>
      </c>
    </row>
    <row r="2871" spans="9:10" x14ac:dyDescent="0.3">
      <c r="I2871" s="72">
        <v>1434.5</v>
      </c>
      <c r="J2871" s="70">
        <v>0.98897058823529405</v>
      </c>
    </row>
    <row r="2872" spans="9:10" x14ac:dyDescent="0.3">
      <c r="I2872" s="72">
        <v>1435</v>
      </c>
      <c r="J2872" s="70">
        <v>0.98897058823529405</v>
      </c>
    </row>
    <row r="2873" spans="9:10" x14ac:dyDescent="0.3">
      <c r="I2873" s="72">
        <v>1435.5</v>
      </c>
      <c r="J2873" s="70">
        <v>0.98897058823529405</v>
      </c>
    </row>
    <row r="2874" spans="9:10" x14ac:dyDescent="0.3">
      <c r="I2874" s="72">
        <v>1436</v>
      </c>
      <c r="J2874" s="70">
        <v>0.98897058823529405</v>
      </c>
    </row>
    <row r="2875" spans="9:10" x14ac:dyDescent="0.3">
      <c r="I2875" s="72">
        <v>1436.5</v>
      </c>
      <c r="J2875" s="70">
        <v>0.98897058823529405</v>
      </c>
    </row>
    <row r="2876" spans="9:10" x14ac:dyDescent="0.3">
      <c r="I2876" s="72">
        <v>1437</v>
      </c>
      <c r="J2876" s="70">
        <v>0.98897058823529405</v>
      </c>
    </row>
    <row r="2877" spans="9:10" x14ac:dyDescent="0.3">
      <c r="I2877" s="72">
        <v>1437.5</v>
      </c>
      <c r="J2877" s="70">
        <v>0.98897058823529405</v>
      </c>
    </row>
    <row r="2878" spans="9:10" x14ac:dyDescent="0.3">
      <c r="I2878" s="72">
        <v>1438</v>
      </c>
      <c r="J2878" s="70">
        <v>0.98897058823529405</v>
      </c>
    </row>
    <row r="2879" spans="9:10" x14ac:dyDescent="0.3">
      <c r="I2879" s="72">
        <v>1438.5</v>
      </c>
      <c r="J2879" s="70">
        <v>0.98897058823529405</v>
      </c>
    </row>
    <row r="2880" spans="9:10" x14ac:dyDescent="0.3">
      <c r="I2880" s="72">
        <v>1439</v>
      </c>
      <c r="J2880" s="70">
        <v>0.98897058823529405</v>
      </c>
    </row>
    <row r="2881" spans="9:10" x14ac:dyDescent="0.3">
      <c r="I2881" s="72">
        <v>1439.5</v>
      </c>
      <c r="J2881" s="70">
        <v>0.98897058823529405</v>
      </c>
    </row>
    <row r="2882" spans="9:10" x14ac:dyDescent="0.3">
      <c r="I2882" s="72">
        <v>1440</v>
      </c>
      <c r="J2882" s="70">
        <v>0.98897058823529405</v>
      </c>
    </row>
    <row r="2883" spans="9:10" x14ac:dyDescent="0.3">
      <c r="I2883" s="72">
        <v>1440.5</v>
      </c>
      <c r="J2883" s="70">
        <v>0.98897058823529405</v>
      </c>
    </row>
    <row r="2884" spans="9:10" x14ac:dyDescent="0.3">
      <c r="I2884" s="72">
        <v>1441</v>
      </c>
      <c r="J2884" s="70">
        <v>0.98897058823529405</v>
      </c>
    </row>
    <row r="2885" spans="9:10" x14ac:dyDescent="0.3">
      <c r="I2885" s="72">
        <v>1441.5</v>
      </c>
      <c r="J2885" s="70">
        <v>0.98897058823529405</v>
      </c>
    </row>
    <row r="2886" spans="9:10" x14ac:dyDescent="0.3">
      <c r="I2886" s="72">
        <v>1442</v>
      </c>
      <c r="J2886" s="70">
        <v>0.98897058823529405</v>
      </c>
    </row>
    <row r="2887" spans="9:10" x14ac:dyDescent="0.3">
      <c r="I2887" s="72">
        <v>1442.5</v>
      </c>
      <c r="J2887" s="70">
        <v>0.98897058823529405</v>
      </c>
    </row>
    <row r="2888" spans="9:10" x14ac:dyDescent="0.3">
      <c r="I2888" s="72">
        <v>1443</v>
      </c>
      <c r="J2888" s="70">
        <v>0.98897058823529405</v>
      </c>
    </row>
    <row r="2889" spans="9:10" x14ac:dyDescent="0.3">
      <c r="I2889" s="72">
        <v>1443.5</v>
      </c>
      <c r="J2889" s="70">
        <v>0.98897058823529405</v>
      </c>
    </row>
    <row r="2890" spans="9:10" x14ac:dyDescent="0.3">
      <c r="I2890" s="72">
        <v>1444</v>
      </c>
      <c r="J2890" s="70">
        <v>0.98897058823529405</v>
      </c>
    </row>
    <row r="2891" spans="9:10" x14ac:dyDescent="0.3">
      <c r="I2891" s="72">
        <v>1444.5</v>
      </c>
      <c r="J2891" s="70">
        <v>0.98897058823529405</v>
      </c>
    </row>
    <row r="2892" spans="9:10" x14ac:dyDescent="0.3">
      <c r="I2892" s="72">
        <v>1445</v>
      </c>
      <c r="J2892" s="70">
        <v>0.98897058823529405</v>
      </c>
    </row>
    <row r="2893" spans="9:10" x14ac:dyDescent="0.3">
      <c r="I2893" s="72">
        <v>1445.5</v>
      </c>
      <c r="J2893" s="70">
        <v>0.98897058823529405</v>
      </c>
    </row>
    <row r="2894" spans="9:10" x14ac:dyDescent="0.3">
      <c r="I2894" s="72">
        <v>1446</v>
      </c>
      <c r="J2894" s="70">
        <v>0.98897058823529405</v>
      </c>
    </row>
    <row r="2895" spans="9:10" x14ac:dyDescent="0.3">
      <c r="I2895" s="72">
        <v>1446.5</v>
      </c>
      <c r="J2895" s="70">
        <v>0.98897058823529405</v>
      </c>
    </row>
    <row r="2896" spans="9:10" x14ac:dyDescent="0.3">
      <c r="I2896" s="72">
        <v>1447</v>
      </c>
      <c r="J2896" s="70">
        <v>0.98897058823529405</v>
      </c>
    </row>
    <row r="2897" spans="9:10" x14ac:dyDescent="0.3">
      <c r="I2897" s="72">
        <v>1447.5</v>
      </c>
      <c r="J2897" s="70">
        <v>0.98897058823529405</v>
      </c>
    </row>
    <row r="2898" spans="9:10" x14ac:dyDescent="0.3">
      <c r="I2898" s="72">
        <v>1448</v>
      </c>
      <c r="J2898" s="70">
        <v>0.98897058823529405</v>
      </c>
    </row>
    <row r="2899" spans="9:10" x14ac:dyDescent="0.3">
      <c r="I2899" s="72">
        <v>1448.5</v>
      </c>
      <c r="J2899" s="70">
        <v>0.98897058823529405</v>
      </c>
    </row>
    <row r="2900" spans="9:10" x14ac:dyDescent="0.3">
      <c r="I2900" s="72">
        <v>1449</v>
      </c>
      <c r="J2900" s="70">
        <v>0.98897058823529405</v>
      </c>
    </row>
    <row r="2901" spans="9:10" x14ac:dyDescent="0.3">
      <c r="I2901" s="72">
        <v>1449.5</v>
      </c>
      <c r="J2901" s="70">
        <v>0.98897058823529405</v>
      </c>
    </row>
    <row r="2902" spans="9:10" x14ac:dyDescent="0.3">
      <c r="I2902" s="72">
        <v>1450</v>
      </c>
      <c r="J2902" s="70">
        <v>0.98897058823529405</v>
      </c>
    </row>
    <row r="2903" spans="9:10" x14ac:dyDescent="0.3">
      <c r="I2903" s="72">
        <v>1450.5</v>
      </c>
      <c r="J2903" s="70">
        <v>0.98897058823529405</v>
      </c>
    </row>
    <row r="2904" spans="9:10" x14ac:dyDescent="0.3">
      <c r="I2904" s="72">
        <v>1451</v>
      </c>
      <c r="J2904" s="70">
        <v>0.98897058823529405</v>
      </c>
    </row>
    <row r="2905" spans="9:10" x14ac:dyDescent="0.3">
      <c r="I2905" s="72">
        <v>1451.5</v>
      </c>
      <c r="J2905" s="70">
        <v>0.98897058823529405</v>
      </c>
    </row>
    <row r="2906" spans="9:10" x14ac:dyDescent="0.3">
      <c r="I2906" s="72">
        <v>1452</v>
      </c>
      <c r="J2906" s="70">
        <v>0.98897058823529405</v>
      </c>
    </row>
    <row r="2907" spans="9:10" x14ac:dyDescent="0.3">
      <c r="I2907" s="72">
        <v>1452.5</v>
      </c>
      <c r="J2907" s="70">
        <v>0.98897058823529405</v>
      </c>
    </row>
    <row r="2908" spans="9:10" x14ac:dyDescent="0.3">
      <c r="I2908" s="72">
        <v>1453</v>
      </c>
      <c r="J2908" s="70">
        <v>0.98897058823529405</v>
      </c>
    </row>
    <row r="2909" spans="9:10" x14ac:dyDescent="0.3">
      <c r="I2909" s="72">
        <v>1453.5</v>
      </c>
      <c r="J2909" s="70">
        <v>0.98897058823529405</v>
      </c>
    </row>
    <row r="2910" spans="9:10" x14ac:dyDescent="0.3">
      <c r="I2910" s="72">
        <v>1454</v>
      </c>
      <c r="J2910" s="70">
        <v>0.98897058823529405</v>
      </c>
    </row>
    <row r="2911" spans="9:10" x14ac:dyDescent="0.3">
      <c r="I2911" s="72">
        <v>1454.5</v>
      </c>
      <c r="J2911" s="70">
        <v>0.98897058823529405</v>
      </c>
    </row>
    <row r="2912" spans="9:10" x14ac:dyDescent="0.3">
      <c r="I2912" s="72">
        <v>1455</v>
      </c>
      <c r="J2912" s="70">
        <v>0.98897058823529405</v>
      </c>
    </row>
    <row r="2913" spans="9:10" x14ac:dyDescent="0.3">
      <c r="I2913" s="72">
        <v>1455.5</v>
      </c>
      <c r="J2913" s="70">
        <v>0.98897058823529405</v>
      </c>
    </row>
    <row r="2914" spans="9:10" x14ac:dyDescent="0.3">
      <c r="I2914" s="72">
        <v>1456</v>
      </c>
      <c r="J2914" s="70">
        <v>0.98897058823529405</v>
      </c>
    </row>
    <row r="2915" spans="9:10" x14ac:dyDescent="0.3">
      <c r="I2915" s="72">
        <v>1456.5</v>
      </c>
      <c r="J2915" s="70">
        <v>0.98897058823529405</v>
      </c>
    </row>
    <row r="2916" spans="9:10" x14ac:dyDescent="0.3">
      <c r="I2916" s="72">
        <v>1457</v>
      </c>
      <c r="J2916" s="70">
        <v>0.98897058823529405</v>
      </c>
    </row>
    <row r="2917" spans="9:10" x14ac:dyDescent="0.3">
      <c r="I2917" s="72">
        <v>1457.5</v>
      </c>
      <c r="J2917" s="70">
        <v>0.98897058823529405</v>
      </c>
    </row>
    <row r="2918" spans="9:10" x14ac:dyDescent="0.3">
      <c r="I2918" s="72">
        <v>1458</v>
      </c>
      <c r="J2918" s="70">
        <v>0.98897058823529405</v>
      </c>
    </row>
    <row r="2919" spans="9:10" x14ac:dyDescent="0.3">
      <c r="I2919" s="72">
        <v>1458.5</v>
      </c>
      <c r="J2919" s="70">
        <v>0.98897058823529405</v>
      </c>
    </row>
    <row r="2920" spans="9:10" x14ac:dyDescent="0.3">
      <c r="I2920" s="72">
        <v>1459</v>
      </c>
      <c r="J2920" s="70">
        <v>0.98897058823529405</v>
      </c>
    </row>
    <row r="2921" spans="9:10" x14ac:dyDescent="0.3">
      <c r="I2921" s="72">
        <v>1459.5</v>
      </c>
      <c r="J2921" s="70">
        <v>0.98897058823529405</v>
      </c>
    </row>
    <row r="2922" spans="9:10" x14ac:dyDescent="0.3">
      <c r="I2922" s="72">
        <v>1460</v>
      </c>
      <c r="J2922" s="70">
        <v>0.98897058823529405</v>
      </c>
    </row>
    <row r="2923" spans="9:10" x14ac:dyDescent="0.3">
      <c r="I2923" s="72">
        <v>1460.5</v>
      </c>
      <c r="J2923" s="70">
        <v>0.98897058823529405</v>
      </c>
    </row>
    <row r="2924" spans="9:10" x14ac:dyDescent="0.3">
      <c r="I2924" s="72">
        <v>1461</v>
      </c>
      <c r="J2924" s="70">
        <v>0.98897058823529405</v>
      </c>
    </row>
    <row r="2925" spans="9:10" x14ac:dyDescent="0.3">
      <c r="I2925" s="72">
        <v>1461.5</v>
      </c>
      <c r="J2925" s="70">
        <v>0.98897058823529405</v>
      </c>
    </row>
    <row r="2926" spans="9:10" x14ac:dyDescent="0.3">
      <c r="I2926" s="72">
        <v>1462</v>
      </c>
      <c r="J2926" s="70">
        <v>0.98897058823529405</v>
      </c>
    </row>
    <row r="2927" spans="9:10" x14ac:dyDescent="0.3">
      <c r="I2927" s="72">
        <v>1462.5</v>
      </c>
      <c r="J2927" s="70">
        <v>0.98897058823529405</v>
      </c>
    </row>
    <row r="2928" spans="9:10" x14ac:dyDescent="0.3">
      <c r="I2928" s="72">
        <v>1463</v>
      </c>
      <c r="J2928" s="70">
        <v>0.98897058823529405</v>
      </c>
    </row>
    <row r="2929" spans="9:10" x14ac:dyDescent="0.3">
      <c r="I2929" s="72">
        <v>1463.5</v>
      </c>
      <c r="J2929" s="70">
        <v>0.98897058823529405</v>
      </c>
    </row>
    <row r="2930" spans="9:10" x14ac:dyDescent="0.3">
      <c r="I2930" s="72">
        <v>1464</v>
      </c>
      <c r="J2930" s="70">
        <v>0.98897058823529405</v>
      </c>
    </row>
    <row r="2931" spans="9:10" x14ac:dyDescent="0.3">
      <c r="I2931" s="72">
        <v>1464.5</v>
      </c>
      <c r="J2931" s="70">
        <v>0.98897058823529405</v>
      </c>
    </row>
    <row r="2932" spans="9:10" x14ac:dyDescent="0.3">
      <c r="I2932" s="72">
        <v>1465</v>
      </c>
      <c r="J2932" s="70">
        <v>0.98897058823529405</v>
      </c>
    </row>
    <row r="2933" spans="9:10" x14ac:dyDescent="0.3">
      <c r="I2933" s="72">
        <v>1465.5</v>
      </c>
      <c r="J2933" s="70">
        <v>0.99080882352941169</v>
      </c>
    </row>
    <row r="2934" spans="9:10" x14ac:dyDescent="0.3">
      <c r="I2934" s="72">
        <v>1466</v>
      </c>
      <c r="J2934" s="70">
        <v>0.99080882352941169</v>
      </c>
    </row>
    <row r="2935" spans="9:10" x14ac:dyDescent="0.3">
      <c r="I2935" s="72">
        <v>1466.5</v>
      </c>
      <c r="J2935" s="70">
        <v>0.99080882352941169</v>
      </c>
    </row>
    <row r="2936" spans="9:10" x14ac:dyDescent="0.3">
      <c r="I2936" s="72">
        <v>1467</v>
      </c>
      <c r="J2936" s="70">
        <v>0.99080882352941169</v>
      </c>
    </row>
    <row r="2937" spans="9:10" x14ac:dyDescent="0.3">
      <c r="I2937" s="72">
        <v>1467.5</v>
      </c>
      <c r="J2937" s="70">
        <v>0.99080882352941169</v>
      </c>
    </row>
    <row r="2938" spans="9:10" x14ac:dyDescent="0.3">
      <c r="I2938" s="72">
        <v>1468</v>
      </c>
      <c r="J2938" s="70">
        <v>0.99080882352941169</v>
      </c>
    </row>
    <row r="2939" spans="9:10" x14ac:dyDescent="0.3">
      <c r="I2939" s="72">
        <v>1468.5</v>
      </c>
      <c r="J2939" s="70">
        <v>0.99080882352941169</v>
      </c>
    </row>
    <row r="2940" spans="9:10" x14ac:dyDescent="0.3">
      <c r="I2940" s="72">
        <v>1469</v>
      </c>
      <c r="J2940" s="70">
        <v>0.99080882352941169</v>
      </c>
    </row>
    <row r="2941" spans="9:10" x14ac:dyDescent="0.3">
      <c r="I2941" s="72">
        <v>1469.5</v>
      </c>
      <c r="J2941" s="70">
        <v>0.99080882352941169</v>
      </c>
    </row>
    <row r="2942" spans="9:10" x14ac:dyDescent="0.3">
      <c r="I2942" s="72">
        <v>1470</v>
      </c>
      <c r="J2942" s="70">
        <v>0.99080882352941169</v>
      </c>
    </row>
    <row r="2943" spans="9:10" x14ac:dyDescent="0.3">
      <c r="I2943" s="72">
        <v>1470.5</v>
      </c>
      <c r="J2943" s="70">
        <v>0.99080882352941169</v>
      </c>
    </row>
    <row r="2944" spans="9:10" x14ac:dyDescent="0.3">
      <c r="I2944" s="72">
        <v>1471</v>
      </c>
      <c r="J2944" s="70">
        <v>0.99080882352941169</v>
      </c>
    </row>
    <row r="2945" spans="9:10" x14ac:dyDescent="0.3">
      <c r="I2945" s="72">
        <v>1471.5</v>
      </c>
      <c r="J2945" s="70">
        <v>0.99080882352941169</v>
      </c>
    </row>
    <row r="2946" spans="9:10" x14ac:dyDescent="0.3">
      <c r="I2946" s="72">
        <v>1472</v>
      </c>
      <c r="J2946" s="70">
        <v>0.99080882352941169</v>
      </c>
    </row>
    <row r="2947" spans="9:10" x14ac:dyDescent="0.3">
      <c r="I2947" s="72">
        <v>1472.5</v>
      </c>
      <c r="J2947" s="70">
        <v>0.99080882352941169</v>
      </c>
    </row>
    <row r="2948" spans="9:10" x14ac:dyDescent="0.3">
      <c r="I2948" s="72">
        <v>1473</v>
      </c>
      <c r="J2948" s="70">
        <v>0.99080882352941169</v>
      </c>
    </row>
    <row r="2949" spans="9:10" x14ac:dyDescent="0.3">
      <c r="I2949" s="72">
        <v>1473.5</v>
      </c>
      <c r="J2949" s="70">
        <v>0.99080882352941169</v>
      </c>
    </row>
    <row r="2950" spans="9:10" x14ac:dyDescent="0.3">
      <c r="I2950" s="72">
        <v>1474</v>
      </c>
      <c r="J2950" s="70">
        <v>0.99080882352941169</v>
      </c>
    </row>
    <row r="2951" spans="9:10" x14ac:dyDescent="0.3">
      <c r="I2951" s="72">
        <v>1474.5</v>
      </c>
      <c r="J2951" s="70">
        <v>0.99080882352941169</v>
      </c>
    </row>
    <row r="2952" spans="9:10" x14ac:dyDescent="0.3">
      <c r="I2952" s="72">
        <v>1475</v>
      </c>
      <c r="J2952" s="70">
        <v>0.99080882352941169</v>
      </c>
    </row>
    <row r="2953" spans="9:10" x14ac:dyDescent="0.3">
      <c r="I2953" s="72">
        <v>1475.5</v>
      </c>
      <c r="J2953" s="70">
        <v>0.99080882352941169</v>
      </c>
    </row>
    <row r="2954" spans="9:10" x14ac:dyDescent="0.3">
      <c r="I2954" s="72">
        <v>1476</v>
      </c>
      <c r="J2954" s="70">
        <v>0.99080882352941169</v>
      </c>
    </row>
    <row r="2955" spans="9:10" x14ac:dyDescent="0.3">
      <c r="I2955" s="72">
        <v>1476.5</v>
      </c>
      <c r="J2955" s="70">
        <v>0.99080882352941169</v>
      </c>
    </row>
    <row r="2956" spans="9:10" x14ac:dyDescent="0.3">
      <c r="I2956" s="72">
        <v>1477</v>
      </c>
      <c r="J2956" s="70">
        <v>0.99080882352941169</v>
      </c>
    </row>
    <row r="2957" spans="9:10" x14ac:dyDescent="0.3">
      <c r="I2957" s="72">
        <v>1477.5</v>
      </c>
      <c r="J2957" s="70">
        <v>0.99080882352941169</v>
      </c>
    </row>
    <row r="2958" spans="9:10" x14ac:dyDescent="0.3">
      <c r="I2958" s="72">
        <v>1478</v>
      </c>
      <c r="J2958" s="70">
        <v>0.99080882352941169</v>
      </c>
    </row>
    <row r="2959" spans="9:10" x14ac:dyDescent="0.3">
      <c r="I2959" s="72">
        <v>1478.5</v>
      </c>
      <c r="J2959" s="70">
        <v>0.99080882352941169</v>
      </c>
    </row>
    <row r="2960" spans="9:10" x14ac:dyDescent="0.3">
      <c r="I2960" s="72">
        <v>1479</v>
      </c>
      <c r="J2960" s="70">
        <v>0.99080882352941169</v>
      </c>
    </row>
    <row r="2961" spans="9:10" x14ac:dyDescent="0.3">
      <c r="I2961" s="72">
        <v>1479.5</v>
      </c>
      <c r="J2961" s="70">
        <v>0.99080882352941169</v>
      </c>
    </row>
    <row r="2962" spans="9:10" x14ac:dyDescent="0.3">
      <c r="I2962" s="72">
        <v>1480</v>
      </c>
      <c r="J2962" s="70">
        <v>0.99080882352941169</v>
      </c>
    </row>
    <row r="2963" spans="9:10" x14ac:dyDescent="0.3">
      <c r="I2963" s="72">
        <v>1480.5</v>
      </c>
      <c r="J2963" s="70">
        <v>0.99080882352941169</v>
      </c>
    </row>
    <row r="2964" spans="9:10" x14ac:dyDescent="0.3">
      <c r="I2964" s="72">
        <v>1481</v>
      </c>
      <c r="J2964" s="70">
        <v>0.99080882352941169</v>
      </c>
    </row>
    <row r="2965" spans="9:10" x14ac:dyDescent="0.3">
      <c r="I2965" s="72">
        <v>1481.5</v>
      </c>
      <c r="J2965" s="70">
        <v>0.99080882352941169</v>
      </c>
    </row>
    <row r="2966" spans="9:10" x14ac:dyDescent="0.3">
      <c r="I2966" s="72">
        <v>1482</v>
      </c>
      <c r="J2966" s="70">
        <v>0.99080882352941169</v>
      </c>
    </row>
    <row r="2967" spans="9:10" x14ac:dyDescent="0.3">
      <c r="I2967" s="72">
        <v>1482.5</v>
      </c>
      <c r="J2967" s="70">
        <v>0.99080882352941169</v>
      </c>
    </row>
    <row r="2968" spans="9:10" x14ac:dyDescent="0.3">
      <c r="I2968" s="72">
        <v>1483</v>
      </c>
      <c r="J2968" s="70">
        <v>0.99080882352941169</v>
      </c>
    </row>
    <row r="2969" spans="9:10" x14ac:dyDescent="0.3">
      <c r="I2969" s="72">
        <v>1483.5</v>
      </c>
      <c r="J2969" s="70">
        <v>0.99080882352941169</v>
      </c>
    </row>
    <row r="2970" spans="9:10" x14ac:dyDescent="0.3">
      <c r="I2970" s="72">
        <v>1484</v>
      </c>
      <c r="J2970" s="70">
        <v>0.99080882352941169</v>
      </c>
    </row>
    <row r="2971" spans="9:10" x14ac:dyDescent="0.3">
      <c r="I2971" s="72">
        <v>1484.5</v>
      </c>
      <c r="J2971" s="70">
        <v>0.99080882352941169</v>
      </c>
    </row>
    <row r="2972" spans="9:10" x14ac:dyDescent="0.3">
      <c r="I2972" s="72">
        <v>1485</v>
      </c>
      <c r="J2972" s="70">
        <v>0.99080882352941169</v>
      </c>
    </row>
    <row r="2973" spans="9:10" x14ac:dyDescent="0.3">
      <c r="I2973" s="72">
        <v>1485.5</v>
      </c>
      <c r="J2973" s="70">
        <v>0.99080882352941169</v>
      </c>
    </row>
    <row r="2974" spans="9:10" x14ac:dyDescent="0.3">
      <c r="I2974" s="72">
        <v>1486</v>
      </c>
      <c r="J2974" s="70">
        <v>0.99080882352941169</v>
      </c>
    </row>
    <row r="2975" spans="9:10" x14ac:dyDescent="0.3">
      <c r="I2975" s="72">
        <v>1486.5</v>
      </c>
      <c r="J2975" s="70">
        <v>0.99080882352941169</v>
      </c>
    </row>
    <row r="2976" spans="9:10" x14ac:dyDescent="0.3">
      <c r="I2976" s="72">
        <v>1487</v>
      </c>
      <c r="J2976" s="70">
        <v>0.99080882352941169</v>
      </c>
    </row>
    <row r="2977" spans="9:10" x14ac:dyDescent="0.3">
      <c r="I2977" s="72">
        <v>1487.5</v>
      </c>
      <c r="J2977" s="70">
        <v>0.99080882352941169</v>
      </c>
    </row>
    <row r="2978" spans="9:10" x14ac:dyDescent="0.3">
      <c r="I2978" s="72">
        <v>1488</v>
      </c>
      <c r="J2978" s="70">
        <v>0.99080882352941169</v>
      </c>
    </row>
    <row r="2979" spans="9:10" x14ac:dyDescent="0.3">
      <c r="I2979" s="72">
        <v>1488.5</v>
      </c>
      <c r="J2979" s="70">
        <v>0.99080882352941169</v>
      </c>
    </row>
    <row r="2980" spans="9:10" x14ac:dyDescent="0.3">
      <c r="I2980" s="72">
        <v>1489</v>
      </c>
      <c r="J2980" s="70">
        <v>0.99080882352941169</v>
      </c>
    </row>
    <row r="2981" spans="9:10" x14ac:dyDescent="0.3">
      <c r="I2981" s="72">
        <v>1489.5</v>
      </c>
      <c r="J2981" s="70">
        <v>0.99080882352941169</v>
      </c>
    </row>
    <row r="2982" spans="9:10" x14ac:dyDescent="0.3">
      <c r="I2982" s="72">
        <v>1490</v>
      </c>
      <c r="J2982" s="70">
        <v>0.99080882352941169</v>
      </c>
    </row>
    <row r="2983" spans="9:10" x14ac:dyDescent="0.3">
      <c r="I2983" s="72">
        <v>1490.5</v>
      </c>
      <c r="J2983" s="70">
        <v>0.99080882352941169</v>
      </c>
    </row>
    <row r="2984" spans="9:10" x14ac:dyDescent="0.3">
      <c r="I2984" s="72">
        <v>1491</v>
      </c>
      <c r="J2984" s="70">
        <v>0.99080882352941169</v>
      </c>
    </row>
    <row r="2985" spans="9:10" x14ac:dyDescent="0.3">
      <c r="I2985" s="72">
        <v>1491.5</v>
      </c>
      <c r="J2985" s="70">
        <v>0.99080882352941169</v>
      </c>
    </row>
    <row r="2986" spans="9:10" x14ac:dyDescent="0.3">
      <c r="I2986" s="72">
        <v>1492</v>
      </c>
      <c r="J2986" s="70">
        <v>0.99080882352941169</v>
      </c>
    </row>
    <row r="2987" spans="9:10" x14ac:dyDescent="0.3">
      <c r="I2987" s="72">
        <v>1492.5</v>
      </c>
      <c r="J2987" s="70">
        <v>0.99080882352941169</v>
      </c>
    </row>
    <row r="2988" spans="9:10" x14ac:dyDescent="0.3">
      <c r="I2988" s="72">
        <v>1493</v>
      </c>
      <c r="J2988" s="70">
        <v>0.99080882352941169</v>
      </c>
    </row>
    <row r="2989" spans="9:10" x14ac:dyDescent="0.3">
      <c r="I2989" s="72">
        <v>1493.5</v>
      </c>
      <c r="J2989" s="70">
        <v>0.99080882352941169</v>
      </c>
    </row>
    <row r="2990" spans="9:10" x14ac:dyDescent="0.3">
      <c r="I2990" s="72">
        <v>1494</v>
      </c>
      <c r="J2990" s="70">
        <v>0.99080882352941169</v>
      </c>
    </row>
    <row r="2991" spans="9:10" x14ac:dyDescent="0.3">
      <c r="I2991" s="72">
        <v>1494.5</v>
      </c>
      <c r="J2991" s="70">
        <v>0.99080882352941169</v>
      </c>
    </row>
    <row r="2992" spans="9:10" x14ac:dyDescent="0.3">
      <c r="I2992" s="72">
        <v>1495</v>
      </c>
      <c r="J2992" s="70">
        <v>0.99080882352941169</v>
      </c>
    </row>
    <row r="2993" spans="9:10" x14ac:dyDescent="0.3">
      <c r="I2993" s="72">
        <v>1495.5</v>
      </c>
      <c r="J2993" s="70">
        <v>0.99080882352941169</v>
      </c>
    </row>
    <row r="2994" spans="9:10" x14ac:dyDescent="0.3">
      <c r="I2994" s="72">
        <v>1496</v>
      </c>
      <c r="J2994" s="70">
        <v>0.99080882352941169</v>
      </c>
    </row>
    <row r="2995" spans="9:10" x14ac:dyDescent="0.3">
      <c r="I2995" s="72">
        <v>1496.5</v>
      </c>
      <c r="J2995" s="70">
        <v>0.99080882352941169</v>
      </c>
    </row>
    <row r="2996" spans="9:10" x14ac:dyDescent="0.3">
      <c r="I2996" s="72">
        <v>1497</v>
      </c>
      <c r="J2996" s="70">
        <v>0.99080882352941169</v>
      </c>
    </row>
    <row r="2997" spans="9:10" x14ac:dyDescent="0.3">
      <c r="I2997" s="72">
        <v>1497.5</v>
      </c>
      <c r="J2997" s="70">
        <v>0.99080882352941169</v>
      </c>
    </row>
    <row r="2998" spans="9:10" x14ac:dyDescent="0.3">
      <c r="I2998" s="72">
        <v>1498</v>
      </c>
      <c r="J2998" s="70">
        <v>0.99080882352941169</v>
      </c>
    </row>
    <row r="2999" spans="9:10" x14ac:dyDescent="0.3">
      <c r="I2999" s="72">
        <v>1498.5</v>
      </c>
      <c r="J2999" s="70">
        <v>0.99080882352941169</v>
      </c>
    </row>
    <row r="3000" spans="9:10" x14ac:dyDescent="0.3">
      <c r="I3000" s="72">
        <v>1499</v>
      </c>
      <c r="J3000" s="70">
        <v>0.99080882352941169</v>
      </c>
    </row>
    <row r="3001" spans="9:10" x14ac:dyDescent="0.3">
      <c r="I3001" s="72">
        <v>1499.5</v>
      </c>
      <c r="J3001" s="70">
        <v>0.99080882352941169</v>
      </c>
    </row>
    <row r="3002" spans="9:10" x14ac:dyDescent="0.3">
      <c r="I3002" s="72">
        <v>1500</v>
      </c>
      <c r="J3002" s="70">
        <v>0.99080882352941169</v>
      </c>
    </row>
    <row r="3003" spans="9:10" x14ac:dyDescent="0.3">
      <c r="I3003" s="72">
        <v>1500.5</v>
      </c>
      <c r="J3003" s="70">
        <v>0.99080882352941169</v>
      </c>
    </row>
    <row r="3004" spans="9:10" x14ac:dyDescent="0.3">
      <c r="I3004" s="72">
        <v>1501</v>
      </c>
      <c r="J3004" s="70">
        <v>0.99080882352941169</v>
      </c>
    </row>
    <row r="3005" spans="9:10" x14ac:dyDescent="0.3">
      <c r="I3005" s="72">
        <v>1501.5</v>
      </c>
      <c r="J3005" s="70">
        <v>0.99080882352941169</v>
      </c>
    </row>
    <row r="3006" spans="9:10" x14ac:dyDescent="0.3">
      <c r="I3006" s="72">
        <v>1502</v>
      </c>
      <c r="J3006" s="70">
        <v>0.99080882352941169</v>
      </c>
    </row>
    <row r="3007" spans="9:10" x14ac:dyDescent="0.3">
      <c r="I3007" s="72">
        <v>1502.5</v>
      </c>
      <c r="J3007" s="70">
        <v>0.99080882352941169</v>
      </c>
    </row>
    <row r="3008" spans="9:10" x14ac:dyDescent="0.3">
      <c r="I3008" s="72">
        <v>1503</v>
      </c>
      <c r="J3008" s="70">
        <v>0.99080882352941169</v>
      </c>
    </row>
    <row r="3009" spans="9:10" x14ac:dyDescent="0.3">
      <c r="I3009" s="72">
        <v>1503.5</v>
      </c>
      <c r="J3009" s="70">
        <v>0.99080882352941169</v>
      </c>
    </row>
    <row r="3010" spans="9:10" x14ac:dyDescent="0.3">
      <c r="I3010" s="72">
        <v>1504</v>
      </c>
      <c r="J3010" s="70">
        <v>0.99080882352941169</v>
      </c>
    </row>
    <row r="3011" spans="9:10" x14ac:dyDescent="0.3">
      <c r="I3011" s="72">
        <v>1504.5</v>
      </c>
      <c r="J3011" s="70">
        <v>0.99080882352941169</v>
      </c>
    </row>
    <row r="3012" spans="9:10" x14ac:dyDescent="0.3">
      <c r="I3012" s="72">
        <v>1505</v>
      </c>
      <c r="J3012" s="70">
        <v>0.99080882352941169</v>
      </c>
    </row>
    <row r="3013" spans="9:10" x14ac:dyDescent="0.3">
      <c r="I3013" s="72">
        <v>1505.5</v>
      </c>
      <c r="J3013" s="70">
        <v>0.99080882352941169</v>
      </c>
    </row>
    <row r="3014" spans="9:10" x14ac:dyDescent="0.3">
      <c r="I3014" s="72">
        <v>1506</v>
      </c>
      <c r="J3014" s="70">
        <v>0.99080882352941169</v>
      </c>
    </row>
    <row r="3015" spans="9:10" x14ac:dyDescent="0.3">
      <c r="I3015" s="72">
        <v>1506.5</v>
      </c>
      <c r="J3015" s="70">
        <v>0.99080882352941169</v>
      </c>
    </row>
    <row r="3016" spans="9:10" x14ac:dyDescent="0.3">
      <c r="I3016" s="72">
        <v>1507</v>
      </c>
      <c r="J3016" s="70">
        <v>0.99080882352941169</v>
      </c>
    </row>
    <row r="3017" spans="9:10" x14ac:dyDescent="0.3">
      <c r="I3017" s="72">
        <v>1507.5</v>
      </c>
      <c r="J3017" s="70">
        <v>0.99080882352941169</v>
      </c>
    </row>
    <row r="3018" spans="9:10" x14ac:dyDescent="0.3">
      <c r="I3018" s="72">
        <v>1508</v>
      </c>
      <c r="J3018" s="70">
        <v>0.99080882352941169</v>
      </c>
    </row>
    <row r="3019" spans="9:10" x14ac:dyDescent="0.3">
      <c r="I3019" s="72">
        <v>1508.5</v>
      </c>
      <c r="J3019" s="70">
        <v>0.99080882352941169</v>
      </c>
    </row>
    <row r="3020" spans="9:10" x14ac:dyDescent="0.3">
      <c r="I3020" s="72">
        <v>1509</v>
      </c>
      <c r="J3020" s="70">
        <v>0.99080882352941169</v>
      </c>
    </row>
    <row r="3021" spans="9:10" x14ac:dyDescent="0.3">
      <c r="I3021" s="72">
        <v>1509.5</v>
      </c>
      <c r="J3021" s="70">
        <v>0.99080882352941169</v>
      </c>
    </row>
    <row r="3022" spans="9:10" x14ac:dyDescent="0.3">
      <c r="I3022" s="72">
        <v>1510</v>
      </c>
      <c r="J3022" s="70">
        <v>0.99080882352941169</v>
      </c>
    </row>
    <row r="3023" spans="9:10" x14ac:dyDescent="0.3">
      <c r="I3023" s="72">
        <v>1510.5</v>
      </c>
      <c r="J3023" s="70">
        <v>0.99080882352941169</v>
      </c>
    </row>
    <row r="3024" spans="9:10" x14ac:dyDescent="0.3">
      <c r="I3024" s="72">
        <v>1511</v>
      </c>
      <c r="J3024" s="70">
        <v>0.99080882352941169</v>
      </c>
    </row>
    <row r="3025" spans="9:10" x14ac:dyDescent="0.3">
      <c r="I3025" s="72">
        <v>1511.5</v>
      </c>
      <c r="J3025" s="70">
        <v>0.99080882352941169</v>
      </c>
    </row>
    <row r="3026" spans="9:10" x14ac:dyDescent="0.3">
      <c r="I3026" s="72">
        <v>1512</v>
      </c>
      <c r="J3026" s="70">
        <v>0.99080882352941169</v>
      </c>
    </row>
    <row r="3027" spans="9:10" x14ac:dyDescent="0.3">
      <c r="I3027" s="72">
        <v>1512.5</v>
      </c>
      <c r="J3027" s="70">
        <v>0.99080882352941169</v>
      </c>
    </row>
    <row r="3028" spans="9:10" x14ac:dyDescent="0.3">
      <c r="I3028" s="72">
        <v>1513</v>
      </c>
      <c r="J3028" s="70">
        <v>0.99080882352941169</v>
      </c>
    </row>
    <row r="3029" spans="9:10" x14ac:dyDescent="0.3">
      <c r="I3029" s="72">
        <v>1513.5</v>
      </c>
      <c r="J3029" s="70">
        <v>0.99080882352941169</v>
      </c>
    </row>
    <row r="3030" spans="9:10" x14ac:dyDescent="0.3">
      <c r="I3030" s="72">
        <v>1514</v>
      </c>
      <c r="J3030" s="70">
        <v>0.99080882352941169</v>
      </c>
    </row>
    <row r="3031" spans="9:10" x14ac:dyDescent="0.3">
      <c r="I3031" s="72">
        <v>1514.5</v>
      </c>
      <c r="J3031" s="70">
        <v>0.99080882352941169</v>
      </c>
    </row>
    <row r="3032" spans="9:10" x14ac:dyDescent="0.3">
      <c r="I3032" s="72">
        <v>1515</v>
      </c>
      <c r="J3032" s="70">
        <v>0.99080882352941169</v>
      </c>
    </row>
    <row r="3033" spans="9:10" x14ac:dyDescent="0.3">
      <c r="I3033" s="72">
        <v>1515.5</v>
      </c>
      <c r="J3033" s="70">
        <v>0.99080882352941169</v>
      </c>
    </row>
    <row r="3034" spans="9:10" x14ac:dyDescent="0.3">
      <c r="I3034" s="72">
        <v>1516</v>
      </c>
      <c r="J3034" s="70">
        <v>0.99080882352941169</v>
      </c>
    </row>
    <row r="3035" spans="9:10" x14ac:dyDescent="0.3">
      <c r="I3035" s="72">
        <v>1516.5</v>
      </c>
      <c r="J3035" s="70">
        <v>0.99080882352941169</v>
      </c>
    </row>
    <row r="3036" spans="9:10" x14ac:dyDescent="0.3">
      <c r="I3036" s="72">
        <v>1517</v>
      </c>
      <c r="J3036" s="70">
        <v>0.99080882352941169</v>
      </c>
    </row>
    <row r="3037" spans="9:10" x14ac:dyDescent="0.3">
      <c r="I3037" s="72">
        <v>1517.5</v>
      </c>
      <c r="J3037" s="70">
        <v>0.99080882352941169</v>
      </c>
    </row>
    <row r="3038" spans="9:10" x14ac:dyDescent="0.3">
      <c r="I3038" s="72">
        <v>1518</v>
      </c>
      <c r="J3038" s="70">
        <v>0.99080882352941169</v>
      </c>
    </row>
    <row r="3039" spans="9:10" x14ac:dyDescent="0.3">
      <c r="I3039" s="72">
        <v>1518.5</v>
      </c>
      <c r="J3039" s="70">
        <v>0.99080882352941169</v>
      </c>
    </row>
    <row r="3040" spans="9:10" x14ac:dyDescent="0.3">
      <c r="I3040" s="72">
        <v>1519</v>
      </c>
      <c r="J3040" s="70">
        <v>0.99080882352941169</v>
      </c>
    </row>
    <row r="3041" spans="9:10" x14ac:dyDescent="0.3">
      <c r="I3041" s="72">
        <v>1519.5</v>
      </c>
      <c r="J3041" s="70">
        <v>0.99080882352941169</v>
      </c>
    </row>
    <row r="3042" spans="9:10" x14ac:dyDescent="0.3">
      <c r="I3042" s="72">
        <v>1520</v>
      </c>
      <c r="J3042" s="70">
        <v>0.99080882352941169</v>
      </c>
    </row>
    <row r="3043" spans="9:10" x14ac:dyDescent="0.3">
      <c r="I3043" s="72">
        <v>1520.5</v>
      </c>
      <c r="J3043" s="70">
        <v>0.99080882352941169</v>
      </c>
    </row>
    <row r="3044" spans="9:10" x14ac:dyDescent="0.3">
      <c r="I3044" s="72">
        <v>1521</v>
      </c>
      <c r="J3044" s="70">
        <v>0.99080882352941169</v>
      </c>
    </row>
    <row r="3045" spans="9:10" x14ac:dyDescent="0.3">
      <c r="I3045" s="72">
        <v>1521.5</v>
      </c>
      <c r="J3045" s="70">
        <v>0.99080882352941169</v>
      </c>
    </row>
    <row r="3046" spans="9:10" x14ac:dyDescent="0.3">
      <c r="I3046" s="72">
        <v>1522</v>
      </c>
      <c r="J3046" s="70">
        <v>0.99080882352941169</v>
      </c>
    </row>
    <row r="3047" spans="9:10" x14ac:dyDescent="0.3">
      <c r="I3047" s="72">
        <v>1522.5</v>
      </c>
      <c r="J3047" s="70">
        <v>0.99080882352941169</v>
      </c>
    </row>
    <row r="3048" spans="9:10" x14ac:dyDescent="0.3">
      <c r="I3048" s="72">
        <v>1523</v>
      </c>
      <c r="J3048" s="70">
        <v>0.99080882352941169</v>
      </c>
    </row>
    <row r="3049" spans="9:10" x14ac:dyDescent="0.3">
      <c r="I3049" s="72">
        <v>1523.5</v>
      </c>
      <c r="J3049" s="70">
        <v>0.99080882352941169</v>
      </c>
    </row>
    <row r="3050" spans="9:10" x14ac:dyDescent="0.3">
      <c r="I3050" s="72">
        <v>1524</v>
      </c>
      <c r="J3050" s="70">
        <v>0.99080882352941169</v>
      </c>
    </row>
    <row r="3051" spans="9:10" x14ac:dyDescent="0.3">
      <c r="I3051" s="72">
        <v>1524.5</v>
      </c>
      <c r="J3051" s="70">
        <v>0.99080882352941169</v>
      </c>
    </row>
    <row r="3052" spans="9:10" x14ac:dyDescent="0.3">
      <c r="I3052" s="72">
        <v>1525</v>
      </c>
      <c r="J3052" s="70">
        <v>0.99080882352941169</v>
      </c>
    </row>
    <row r="3053" spans="9:10" x14ac:dyDescent="0.3">
      <c r="I3053" s="72">
        <v>1525.5</v>
      </c>
      <c r="J3053" s="70">
        <v>0.99080882352941169</v>
      </c>
    </row>
    <row r="3054" spans="9:10" x14ac:dyDescent="0.3">
      <c r="I3054" s="72">
        <v>1526</v>
      </c>
      <c r="J3054" s="70">
        <v>0.99080882352941169</v>
      </c>
    </row>
    <row r="3055" spans="9:10" x14ac:dyDescent="0.3">
      <c r="I3055" s="72">
        <v>1526.5</v>
      </c>
      <c r="J3055" s="70">
        <v>0.99080882352941169</v>
      </c>
    </row>
    <row r="3056" spans="9:10" x14ac:dyDescent="0.3">
      <c r="I3056" s="72">
        <v>1527</v>
      </c>
      <c r="J3056" s="70">
        <v>0.99080882352941169</v>
      </c>
    </row>
    <row r="3057" spans="9:10" x14ac:dyDescent="0.3">
      <c r="I3057" s="72">
        <v>1527.5</v>
      </c>
      <c r="J3057" s="70">
        <v>0.99080882352941169</v>
      </c>
    </row>
    <row r="3058" spans="9:10" x14ac:dyDescent="0.3">
      <c r="I3058" s="72">
        <v>1528</v>
      </c>
      <c r="J3058" s="70">
        <v>0.99080882352941169</v>
      </c>
    </row>
    <row r="3059" spans="9:10" x14ac:dyDescent="0.3">
      <c r="I3059" s="72">
        <v>1528.5</v>
      </c>
      <c r="J3059" s="70">
        <v>0.99080882352941169</v>
      </c>
    </row>
    <row r="3060" spans="9:10" x14ac:dyDescent="0.3">
      <c r="I3060" s="72">
        <v>1529</v>
      </c>
      <c r="J3060" s="70">
        <v>0.99080882352941169</v>
      </c>
    </row>
    <row r="3061" spans="9:10" x14ac:dyDescent="0.3">
      <c r="I3061" s="72">
        <v>1529.5</v>
      </c>
      <c r="J3061" s="70">
        <v>0.99080882352941169</v>
      </c>
    </row>
    <row r="3062" spans="9:10" x14ac:dyDescent="0.3">
      <c r="I3062" s="72">
        <v>1530</v>
      </c>
      <c r="J3062" s="70">
        <v>0.99080882352941169</v>
      </c>
    </row>
    <row r="3063" spans="9:10" x14ac:dyDescent="0.3">
      <c r="I3063" s="72">
        <v>1530.5</v>
      </c>
      <c r="J3063" s="70">
        <v>0.99080882352941169</v>
      </c>
    </row>
    <row r="3064" spans="9:10" x14ac:dyDescent="0.3">
      <c r="I3064" s="72">
        <v>1531</v>
      </c>
      <c r="J3064" s="70">
        <v>0.99080882352941169</v>
      </c>
    </row>
    <row r="3065" spans="9:10" x14ac:dyDescent="0.3">
      <c r="I3065" s="72">
        <v>1531.5</v>
      </c>
      <c r="J3065" s="70">
        <v>0.99080882352941169</v>
      </c>
    </row>
    <row r="3066" spans="9:10" x14ac:dyDescent="0.3">
      <c r="I3066" s="72">
        <v>1532</v>
      </c>
      <c r="J3066" s="70">
        <v>0.99080882352941169</v>
      </c>
    </row>
    <row r="3067" spans="9:10" x14ac:dyDescent="0.3">
      <c r="I3067" s="72">
        <v>1532.5</v>
      </c>
      <c r="J3067" s="70">
        <v>0.99080882352941169</v>
      </c>
    </row>
    <row r="3068" spans="9:10" x14ac:dyDescent="0.3">
      <c r="I3068" s="72">
        <v>1533</v>
      </c>
      <c r="J3068" s="70">
        <v>0.99080882352941169</v>
      </c>
    </row>
    <row r="3069" spans="9:10" x14ac:dyDescent="0.3">
      <c r="I3069" s="72">
        <v>1533.5</v>
      </c>
      <c r="J3069" s="70">
        <v>0.99080882352941169</v>
      </c>
    </row>
    <row r="3070" spans="9:10" x14ac:dyDescent="0.3">
      <c r="I3070" s="72">
        <v>1534</v>
      </c>
      <c r="J3070" s="70">
        <v>0.99080882352941169</v>
      </c>
    </row>
    <row r="3071" spans="9:10" x14ac:dyDescent="0.3">
      <c r="I3071" s="72">
        <v>1534.5</v>
      </c>
      <c r="J3071" s="70">
        <v>0.99080882352941169</v>
      </c>
    </row>
    <row r="3072" spans="9:10" x14ac:dyDescent="0.3">
      <c r="I3072" s="72">
        <v>1535</v>
      </c>
      <c r="J3072" s="70">
        <v>0.99080882352941169</v>
      </c>
    </row>
    <row r="3073" spans="9:10" x14ac:dyDescent="0.3">
      <c r="I3073" s="72">
        <v>1535.5</v>
      </c>
      <c r="J3073" s="70">
        <v>0.99080882352941169</v>
      </c>
    </row>
    <row r="3074" spans="9:10" x14ac:dyDescent="0.3">
      <c r="I3074" s="72">
        <v>1536</v>
      </c>
      <c r="J3074" s="70">
        <v>0.99080882352941169</v>
      </c>
    </row>
    <row r="3075" spans="9:10" x14ac:dyDescent="0.3">
      <c r="I3075" s="72">
        <v>1536.5</v>
      </c>
      <c r="J3075" s="70">
        <v>0.99080882352941169</v>
      </c>
    </row>
    <row r="3076" spans="9:10" x14ac:dyDescent="0.3">
      <c r="I3076" s="72">
        <v>1537</v>
      </c>
      <c r="J3076" s="70">
        <v>0.99080882352941169</v>
      </c>
    </row>
    <row r="3077" spans="9:10" x14ac:dyDescent="0.3">
      <c r="I3077" s="72">
        <v>1537.5</v>
      </c>
      <c r="J3077" s="70">
        <v>0.99080882352941169</v>
      </c>
    </row>
    <row r="3078" spans="9:10" x14ac:dyDescent="0.3">
      <c r="I3078" s="72">
        <v>1538</v>
      </c>
      <c r="J3078" s="70">
        <v>0.99080882352941169</v>
      </c>
    </row>
    <row r="3079" spans="9:10" x14ac:dyDescent="0.3">
      <c r="I3079" s="72">
        <v>1538.5</v>
      </c>
      <c r="J3079" s="70">
        <v>0.99080882352941169</v>
      </c>
    </row>
    <row r="3080" spans="9:10" x14ac:dyDescent="0.3">
      <c r="I3080" s="72">
        <v>1539</v>
      </c>
      <c r="J3080" s="70">
        <v>0.99080882352941169</v>
      </c>
    </row>
    <row r="3081" spans="9:10" x14ac:dyDescent="0.3">
      <c r="I3081" s="72">
        <v>1539.5</v>
      </c>
      <c r="J3081" s="70">
        <v>0.99080882352941169</v>
      </c>
    </row>
    <row r="3082" spans="9:10" x14ac:dyDescent="0.3">
      <c r="I3082" s="72">
        <v>1540</v>
      </c>
      <c r="J3082" s="70">
        <v>0.99080882352941169</v>
      </c>
    </row>
    <row r="3083" spans="9:10" x14ac:dyDescent="0.3">
      <c r="I3083" s="72">
        <v>1540.5</v>
      </c>
      <c r="J3083" s="70">
        <v>0.99080882352941169</v>
      </c>
    </row>
    <row r="3084" spans="9:10" x14ac:dyDescent="0.3">
      <c r="I3084" s="72">
        <v>1541</v>
      </c>
      <c r="J3084" s="70">
        <v>0.99080882352941169</v>
      </c>
    </row>
    <row r="3085" spans="9:10" x14ac:dyDescent="0.3">
      <c r="I3085" s="72">
        <v>1541.5</v>
      </c>
      <c r="J3085" s="70">
        <v>0.99080882352941169</v>
      </c>
    </row>
    <row r="3086" spans="9:10" x14ac:dyDescent="0.3">
      <c r="I3086" s="72">
        <v>1542</v>
      </c>
      <c r="J3086" s="70">
        <v>0.99080882352941169</v>
      </c>
    </row>
    <row r="3087" spans="9:10" x14ac:dyDescent="0.3">
      <c r="I3087" s="72">
        <v>1542.5</v>
      </c>
      <c r="J3087" s="70">
        <v>0.99080882352941169</v>
      </c>
    </row>
    <row r="3088" spans="9:10" x14ac:dyDescent="0.3">
      <c r="I3088" s="72">
        <v>1543</v>
      </c>
      <c r="J3088" s="70">
        <v>0.99080882352941169</v>
      </c>
    </row>
    <row r="3089" spans="9:10" x14ac:dyDescent="0.3">
      <c r="I3089" s="72">
        <v>1543.5</v>
      </c>
      <c r="J3089" s="70">
        <v>0.99080882352941169</v>
      </c>
    </row>
    <row r="3090" spans="9:10" x14ac:dyDescent="0.3">
      <c r="I3090" s="72">
        <v>1544</v>
      </c>
      <c r="J3090" s="70">
        <v>0.99080882352941169</v>
      </c>
    </row>
    <row r="3091" spans="9:10" x14ac:dyDescent="0.3">
      <c r="I3091" s="72">
        <v>1544.5</v>
      </c>
      <c r="J3091" s="70">
        <v>0.99080882352941169</v>
      </c>
    </row>
    <row r="3092" spans="9:10" x14ac:dyDescent="0.3">
      <c r="I3092" s="72">
        <v>1545</v>
      </c>
      <c r="J3092" s="70">
        <v>0.99080882352941169</v>
      </c>
    </row>
    <row r="3093" spans="9:10" x14ac:dyDescent="0.3">
      <c r="I3093" s="72">
        <v>1545.5</v>
      </c>
      <c r="J3093" s="70">
        <v>0.99080882352941169</v>
      </c>
    </row>
    <row r="3094" spans="9:10" x14ac:dyDescent="0.3">
      <c r="I3094" s="72">
        <v>1546</v>
      </c>
      <c r="J3094" s="70">
        <v>0.99080882352941169</v>
      </c>
    </row>
    <row r="3095" spans="9:10" x14ac:dyDescent="0.3">
      <c r="I3095" s="72">
        <v>1546.5</v>
      </c>
      <c r="J3095" s="70">
        <v>0.99080882352941169</v>
      </c>
    </row>
    <row r="3096" spans="9:10" x14ac:dyDescent="0.3">
      <c r="I3096" s="72">
        <v>1547</v>
      </c>
      <c r="J3096" s="70">
        <v>0.99080882352941169</v>
      </c>
    </row>
    <row r="3097" spans="9:10" x14ac:dyDescent="0.3">
      <c r="I3097" s="72">
        <v>1547.5</v>
      </c>
      <c r="J3097" s="70">
        <v>0.99080882352941169</v>
      </c>
    </row>
    <row r="3098" spans="9:10" x14ac:dyDescent="0.3">
      <c r="I3098" s="72">
        <v>1548</v>
      </c>
      <c r="J3098" s="70">
        <v>0.99080882352941169</v>
      </c>
    </row>
    <row r="3099" spans="9:10" x14ac:dyDescent="0.3">
      <c r="I3099" s="72">
        <v>1548.5</v>
      </c>
      <c r="J3099" s="70">
        <v>0.99080882352941169</v>
      </c>
    </row>
    <row r="3100" spans="9:10" x14ac:dyDescent="0.3">
      <c r="I3100" s="72">
        <v>1549</v>
      </c>
      <c r="J3100" s="70">
        <v>0.99080882352941169</v>
      </c>
    </row>
    <row r="3101" spans="9:10" x14ac:dyDescent="0.3">
      <c r="I3101" s="72">
        <v>1549.5</v>
      </c>
      <c r="J3101" s="70">
        <v>0.99080882352941169</v>
      </c>
    </row>
    <row r="3102" spans="9:10" x14ac:dyDescent="0.3">
      <c r="I3102" s="72">
        <v>1550</v>
      </c>
      <c r="J3102" s="70">
        <v>0.99080882352941169</v>
      </c>
    </row>
    <row r="3103" spans="9:10" x14ac:dyDescent="0.3">
      <c r="I3103" s="72">
        <v>1550.5</v>
      </c>
      <c r="J3103" s="70">
        <v>0.99080882352941169</v>
      </c>
    </row>
    <row r="3104" spans="9:10" x14ac:dyDescent="0.3">
      <c r="I3104" s="72">
        <v>1551</v>
      </c>
      <c r="J3104" s="70">
        <v>0.99080882352941169</v>
      </c>
    </row>
    <row r="3105" spans="9:10" x14ac:dyDescent="0.3">
      <c r="I3105" s="72">
        <v>1551.5</v>
      </c>
      <c r="J3105" s="70">
        <v>0.99080882352941169</v>
      </c>
    </row>
    <row r="3106" spans="9:10" x14ac:dyDescent="0.3">
      <c r="I3106" s="72">
        <v>1552</v>
      </c>
      <c r="J3106" s="70">
        <v>0.99080882352941169</v>
      </c>
    </row>
    <row r="3107" spans="9:10" x14ac:dyDescent="0.3">
      <c r="I3107" s="72">
        <v>1552.5</v>
      </c>
      <c r="J3107" s="70">
        <v>0.99080882352941169</v>
      </c>
    </row>
    <row r="3108" spans="9:10" x14ac:dyDescent="0.3">
      <c r="I3108" s="72">
        <v>1553</v>
      </c>
      <c r="J3108" s="70">
        <v>0.99080882352941169</v>
      </c>
    </row>
    <row r="3109" spans="9:10" x14ac:dyDescent="0.3">
      <c r="I3109" s="72">
        <v>1553.5</v>
      </c>
      <c r="J3109" s="70">
        <v>0.99080882352941169</v>
      </c>
    </row>
    <row r="3110" spans="9:10" x14ac:dyDescent="0.3">
      <c r="I3110" s="72">
        <v>1554</v>
      </c>
      <c r="J3110" s="70">
        <v>0.99080882352941169</v>
      </c>
    </row>
    <row r="3111" spans="9:10" x14ac:dyDescent="0.3">
      <c r="I3111" s="72">
        <v>1554.5</v>
      </c>
      <c r="J3111" s="70">
        <v>0.99080882352941169</v>
      </c>
    </row>
    <row r="3112" spans="9:10" x14ac:dyDescent="0.3">
      <c r="I3112" s="72">
        <v>1555</v>
      </c>
      <c r="J3112" s="70">
        <v>0.99080882352941169</v>
      </c>
    </row>
    <row r="3113" spans="9:10" x14ac:dyDescent="0.3">
      <c r="I3113" s="72">
        <v>1555.5</v>
      </c>
      <c r="J3113" s="70">
        <v>0.99080882352941169</v>
      </c>
    </row>
    <row r="3114" spans="9:10" x14ac:dyDescent="0.3">
      <c r="I3114" s="72">
        <v>1556</v>
      </c>
      <c r="J3114" s="70">
        <v>0.99080882352941169</v>
      </c>
    </row>
    <row r="3115" spans="9:10" x14ac:dyDescent="0.3">
      <c r="I3115" s="72">
        <v>1556.5</v>
      </c>
      <c r="J3115" s="70">
        <v>0.99080882352941169</v>
      </c>
    </row>
    <row r="3116" spans="9:10" x14ac:dyDescent="0.3">
      <c r="I3116" s="72">
        <v>1557</v>
      </c>
      <c r="J3116" s="70">
        <v>0.99080882352941169</v>
      </c>
    </row>
    <row r="3117" spans="9:10" x14ac:dyDescent="0.3">
      <c r="I3117" s="72">
        <v>1557.5</v>
      </c>
      <c r="J3117" s="70">
        <v>0.99080882352941169</v>
      </c>
    </row>
    <row r="3118" spans="9:10" x14ac:dyDescent="0.3">
      <c r="I3118" s="72">
        <v>1558</v>
      </c>
      <c r="J3118" s="70">
        <v>0.99080882352941169</v>
      </c>
    </row>
    <row r="3119" spans="9:10" x14ac:dyDescent="0.3">
      <c r="I3119" s="72">
        <v>1558.5</v>
      </c>
      <c r="J3119" s="70">
        <v>0.99080882352941169</v>
      </c>
    </row>
    <row r="3120" spans="9:10" x14ac:dyDescent="0.3">
      <c r="I3120" s="72">
        <v>1559</v>
      </c>
      <c r="J3120" s="70">
        <v>0.99080882352941169</v>
      </c>
    </row>
    <row r="3121" spans="9:10" x14ac:dyDescent="0.3">
      <c r="I3121" s="72">
        <v>1559.5</v>
      </c>
      <c r="J3121" s="70">
        <v>0.99080882352941169</v>
      </c>
    </row>
    <row r="3122" spans="9:10" x14ac:dyDescent="0.3">
      <c r="I3122" s="72">
        <v>1560</v>
      </c>
      <c r="J3122" s="70">
        <v>0.99080882352941169</v>
      </c>
    </row>
    <row r="3123" spans="9:10" x14ac:dyDescent="0.3">
      <c r="I3123" s="72">
        <v>1560.5</v>
      </c>
      <c r="J3123" s="70">
        <v>0.99080882352941169</v>
      </c>
    </row>
    <row r="3124" spans="9:10" x14ac:dyDescent="0.3">
      <c r="I3124" s="72">
        <v>1561</v>
      </c>
      <c r="J3124" s="70">
        <v>0.99080882352941169</v>
      </c>
    </row>
    <row r="3125" spans="9:10" x14ac:dyDescent="0.3">
      <c r="I3125" s="72">
        <v>1561.5</v>
      </c>
      <c r="J3125" s="70">
        <v>0.99080882352941169</v>
      </c>
    </row>
    <row r="3126" spans="9:10" x14ac:dyDescent="0.3">
      <c r="I3126" s="72">
        <v>1562</v>
      </c>
      <c r="J3126" s="70">
        <v>0.99080882352941169</v>
      </c>
    </row>
    <row r="3127" spans="9:10" x14ac:dyDescent="0.3">
      <c r="I3127" s="72">
        <v>1562.5</v>
      </c>
      <c r="J3127" s="70">
        <v>0.99080882352941169</v>
      </c>
    </row>
    <row r="3128" spans="9:10" x14ac:dyDescent="0.3">
      <c r="I3128" s="72">
        <v>1563</v>
      </c>
      <c r="J3128" s="70">
        <v>0.99080882352941169</v>
      </c>
    </row>
    <row r="3129" spans="9:10" x14ac:dyDescent="0.3">
      <c r="I3129" s="72">
        <v>1563.5</v>
      </c>
      <c r="J3129" s="70">
        <v>0.99080882352941169</v>
      </c>
    </row>
    <row r="3130" spans="9:10" x14ac:dyDescent="0.3">
      <c r="I3130" s="72">
        <v>1564</v>
      </c>
      <c r="J3130" s="70">
        <v>0.99080882352941169</v>
      </c>
    </row>
    <row r="3131" spans="9:10" x14ac:dyDescent="0.3">
      <c r="I3131" s="72">
        <v>1564.5</v>
      </c>
      <c r="J3131" s="70">
        <v>0.99080882352941169</v>
      </c>
    </row>
    <row r="3132" spans="9:10" x14ac:dyDescent="0.3">
      <c r="I3132" s="72">
        <v>1565</v>
      </c>
      <c r="J3132" s="70">
        <v>0.99080882352941169</v>
      </c>
    </row>
    <row r="3133" spans="9:10" x14ac:dyDescent="0.3">
      <c r="I3133" s="72">
        <v>1565.5</v>
      </c>
      <c r="J3133" s="70">
        <v>0.99080882352941169</v>
      </c>
    </row>
    <row r="3134" spans="9:10" x14ac:dyDescent="0.3">
      <c r="I3134" s="72">
        <v>1566</v>
      </c>
      <c r="J3134" s="70">
        <v>0.99080882352941169</v>
      </c>
    </row>
    <row r="3135" spans="9:10" x14ac:dyDescent="0.3">
      <c r="I3135" s="72">
        <v>1566.5</v>
      </c>
      <c r="J3135" s="70">
        <v>0.99080882352941169</v>
      </c>
    </row>
    <row r="3136" spans="9:10" x14ac:dyDescent="0.3">
      <c r="I3136" s="72">
        <v>1567</v>
      </c>
      <c r="J3136" s="70">
        <v>0.99080882352941169</v>
      </c>
    </row>
    <row r="3137" spans="9:10" x14ac:dyDescent="0.3">
      <c r="I3137" s="72">
        <v>1567.5</v>
      </c>
      <c r="J3137" s="70">
        <v>0.99080882352941169</v>
      </c>
    </row>
    <row r="3138" spans="9:10" x14ac:dyDescent="0.3">
      <c r="I3138" s="72">
        <v>1568</v>
      </c>
      <c r="J3138" s="70">
        <v>0.99080882352941169</v>
      </c>
    </row>
    <row r="3139" spans="9:10" x14ac:dyDescent="0.3">
      <c r="I3139" s="72">
        <v>1568.5</v>
      </c>
      <c r="J3139" s="70">
        <v>0.99080882352941169</v>
      </c>
    </row>
    <row r="3140" spans="9:10" x14ac:dyDescent="0.3">
      <c r="I3140" s="72">
        <v>1569</v>
      </c>
      <c r="J3140" s="70">
        <v>0.99080882352941169</v>
      </c>
    </row>
    <row r="3141" spans="9:10" x14ac:dyDescent="0.3">
      <c r="I3141" s="72">
        <v>1569.5</v>
      </c>
      <c r="J3141" s="70">
        <v>0.99080882352941169</v>
      </c>
    </row>
    <row r="3142" spans="9:10" x14ac:dyDescent="0.3">
      <c r="I3142" s="72">
        <v>1570</v>
      </c>
      <c r="J3142" s="70">
        <v>0.99080882352941169</v>
      </c>
    </row>
    <row r="3143" spans="9:10" x14ac:dyDescent="0.3">
      <c r="I3143" s="72">
        <v>1570.5</v>
      </c>
      <c r="J3143" s="70">
        <v>0.99080882352941169</v>
      </c>
    </row>
    <row r="3144" spans="9:10" x14ac:dyDescent="0.3">
      <c r="I3144" s="72">
        <v>1571</v>
      </c>
      <c r="J3144" s="70">
        <v>0.99080882352941169</v>
      </c>
    </row>
    <row r="3145" spans="9:10" x14ac:dyDescent="0.3">
      <c r="I3145" s="72">
        <v>1571.5</v>
      </c>
      <c r="J3145" s="70">
        <v>0.99080882352941169</v>
      </c>
    </row>
    <row r="3146" spans="9:10" x14ac:dyDescent="0.3">
      <c r="I3146" s="72">
        <v>1572</v>
      </c>
      <c r="J3146" s="70">
        <v>0.99080882352941169</v>
      </c>
    </row>
    <row r="3147" spans="9:10" x14ac:dyDescent="0.3">
      <c r="I3147" s="72">
        <v>1572.5</v>
      </c>
      <c r="J3147" s="70">
        <v>0.99080882352941169</v>
      </c>
    </row>
    <row r="3148" spans="9:10" x14ac:dyDescent="0.3">
      <c r="I3148" s="72">
        <v>1573</v>
      </c>
      <c r="J3148" s="70">
        <v>0.99080882352941169</v>
      </c>
    </row>
    <row r="3149" spans="9:10" x14ac:dyDescent="0.3">
      <c r="I3149" s="72">
        <v>1573.5</v>
      </c>
      <c r="J3149" s="70">
        <v>0.99080882352941169</v>
      </c>
    </row>
    <row r="3150" spans="9:10" x14ac:dyDescent="0.3">
      <c r="I3150" s="72">
        <v>1574</v>
      </c>
      <c r="J3150" s="70">
        <v>0.99080882352941169</v>
      </c>
    </row>
    <row r="3151" spans="9:10" x14ac:dyDescent="0.3">
      <c r="I3151" s="72">
        <v>1574.5</v>
      </c>
      <c r="J3151" s="70">
        <v>0.99080882352941169</v>
      </c>
    </row>
    <row r="3152" spans="9:10" x14ac:dyDescent="0.3">
      <c r="I3152" s="72">
        <v>1575</v>
      </c>
      <c r="J3152" s="70">
        <v>0.99080882352941169</v>
      </c>
    </row>
    <row r="3153" spans="9:10" x14ac:dyDescent="0.3">
      <c r="I3153" s="72">
        <v>1575.5</v>
      </c>
      <c r="J3153" s="70">
        <v>0.99080882352941169</v>
      </c>
    </row>
    <row r="3154" spans="9:10" x14ac:dyDescent="0.3">
      <c r="I3154" s="72">
        <v>1576</v>
      </c>
      <c r="J3154" s="70">
        <v>0.99080882352941169</v>
      </c>
    </row>
    <row r="3155" spans="9:10" x14ac:dyDescent="0.3">
      <c r="I3155" s="72">
        <v>1576.5</v>
      </c>
      <c r="J3155" s="70">
        <v>0.99080882352941169</v>
      </c>
    </row>
    <row r="3156" spans="9:10" x14ac:dyDescent="0.3">
      <c r="I3156" s="72">
        <v>1577</v>
      </c>
      <c r="J3156" s="70">
        <v>0.99080882352941169</v>
      </c>
    </row>
    <row r="3157" spans="9:10" x14ac:dyDescent="0.3">
      <c r="I3157" s="72">
        <v>1577.5</v>
      </c>
      <c r="J3157" s="70">
        <v>0.99080882352941169</v>
      </c>
    </row>
    <row r="3158" spans="9:10" x14ac:dyDescent="0.3">
      <c r="I3158" s="72">
        <v>1578</v>
      </c>
      <c r="J3158" s="70">
        <v>0.99080882352941169</v>
      </c>
    </row>
    <row r="3159" spans="9:10" x14ac:dyDescent="0.3">
      <c r="I3159" s="72">
        <v>1578.5</v>
      </c>
      <c r="J3159" s="70">
        <v>0.99080882352941169</v>
      </c>
    </row>
    <row r="3160" spans="9:10" x14ac:dyDescent="0.3">
      <c r="I3160" s="72">
        <v>1579</v>
      </c>
      <c r="J3160" s="70">
        <v>0.99080882352941169</v>
      </c>
    </row>
    <row r="3161" spans="9:10" x14ac:dyDescent="0.3">
      <c r="I3161" s="72">
        <v>1579.5</v>
      </c>
      <c r="J3161" s="70">
        <v>0.99080882352941169</v>
      </c>
    </row>
    <row r="3162" spans="9:10" x14ac:dyDescent="0.3">
      <c r="I3162" s="72">
        <v>1580</v>
      </c>
      <c r="J3162" s="70">
        <v>0.99080882352941169</v>
      </c>
    </row>
    <row r="3163" spans="9:10" x14ac:dyDescent="0.3">
      <c r="I3163" s="72">
        <v>1580.5</v>
      </c>
      <c r="J3163" s="70">
        <v>0.99080882352941169</v>
      </c>
    </row>
    <row r="3164" spans="9:10" x14ac:dyDescent="0.3">
      <c r="I3164" s="72">
        <v>1581</v>
      </c>
      <c r="J3164" s="70">
        <v>0.99080882352941169</v>
      </c>
    </row>
    <row r="3165" spans="9:10" x14ac:dyDescent="0.3">
      <c r="I3165" s="72">
        <v>1581.5</v>
      </c>
      <c r="J3165" s="70">
        <v>0.99080882352941169</v>
      </c>
    </row>
    <row r="3166" spans="9:10" x14ac:dyDescent="0.3">
      <c r="I3166" s="72">
        <v>1582</v>
      </c>
      <c r="J3166" s="70">
        <v>0.99080882352941169</v>
      </c>
    </row>
    <row r="3167" spans="9:10" x14ac:dyDescent="0.3">
      <c r="I3167" s="72">
        <v>1582.5</v>
      </c>
      <c r="J3167" s="70">
        <v>0.99080882352941169</v>
      </c>
    </row>
    <row r="3168" spans="9:10" x14ac:dyDescent="0.3">
      <c r="I3168" s="72">
        <v>1583</v>
      </c>
      <c r="J3168" s="70">
        <v>0.99080882352941169</v>
      </c>
    </row>
    <row r="3169" spans="9:10" x14ac:dyDescent="0.3">
      <c r="I3169" s="72">
        <v>1583.5</v>
      </c>
      <c r="J3169" s="70">
        <v>0.99080882352941169</v>
      </c>
    </row>
    <row r="3170" spans="9:10" x14ac:dyDescent="0.3">
      <c r="I3170" s="72">
        <v>1584</v>
      </c>
      <c r="J3170" s="70">
        <v>0.99080882352941169</v>
      </c>
    </row>
    <row r="3171" spans="9:10" x14ac:dyDescent="0.3">
      <c r="I3171" s="72">
        <v>1584.5</v>
      </c>
      <c r="J3171" s="70">
        <v>0.99080882352941169</v>
      </c>
    </row>
    <row r="3172" spans="9:10" x14ac:dyDescent="0.3">
      <c r="I3172" s="72">
        <v>1585</v>
      </c>
      <c r="J3172" s="70">
        <v>0.99080882352941169</v>
      </c>
    </row>
    <row r="3173" spans="9:10" x14ac:dyDescent="0.3">
      <c r="I3173" s="72">
        <v>1585.5</v>
      </c>
      <c r="J3173" s="70">
        <v>0.99080882352941169</v>
      </c>
    </row>
    <row r="3174" spans="9:10" x14ac:dyDescent="0.3">
      <c r="I3174" s="72">
        <v>1586</v>
      </c>
      <c r="J3174" s="70">
        <v>0.99080882352941169</v>
      </c>
    </row>
    <row r="3175" spans="9:10" x14ac:dyDescent="0.3">
      <c r="I3175" s="72">
        <v>1586.5</v>
      </c>
      <c r="J3175" s="70">
        <v>0.99080882352941169</v>
      </c>
    </row>
    <row r="3176" spans="9:10" x14ac:dyDescent="0.3">
      <c r="I3176" s="72">
        <v>1587</v>
      </c>
      <c r="J3176" s="70">
        <v>0.99080882352941169</v>
      </c>
    </row>
    <row r="3177" spans="9:10" x14ac:dyDescent="0.3">
      <c r="I3177" s="72">
        <v>1587.5</v>
      </c>
      <c r="J3177" s="70">
        <v>0.99080882352941169</v>
      </c>
    </row>
    <row r="3178" spans="9:10" x14ac:dyDescent="0.3">
      <c r="I3178" s="72">
        <v>1588</v>
      </c>
      <c r="J3178" s="70">
        <v>0.99080882352941169</v>
      </c>
    </row>
    <row r="3179" spans="9:10" x14ac:dyDescent="0.3">
      <c r="I3179" s="72">
        <v>1588.5</v>
      </c>
      <c r="J3179" s="70">
        <v>0.99080882352941169</v>
      </c>
    </row>
    <row r="3180" spans="9:10" x14ac:dyDescent="0.3">
      <c r="I3180" s="72">
        <v>1589</v>
      </c>
      <c r="J3180" s="70">
        <v>0.99080882352941169</v>
      </c>
    </row>
    <row r="3181" spans="9:10" x14ac:dyDescent="0.3">
      <c r="I3181" s="72">
        <v>1589.5</v>
      </c>
      <c r="J3181" s="70">
        <v>0.99080882352941169</v>
      </c>
    </row>
    <row r="3182" spans="9:10" x14ac:dyDescent="0.3">
      <c r="I3182" s="72">
        <v>1590</v>
      </c>
      <c r="J3182" s="70">
        <v>0.99080882352941169</v>
      </c>
    </row>
    <row r="3183" spans="9:10" x14ac:dyDescent="0.3">
      <c r="I3183" s="72">
        <v>1590.5</v>
      </c>
      <c r="J3183" s="70">
        <v>0.99080882352941169</v>
      </c>
    </row>
    <row r="3184" spans="9:10" x14ac:dyDescent="0.3">
      <c r="I3184" s="72">
        <v>1591</v>
      </c>
      <c r="J3184" s="70">
        <v>0.99080882352941169</v>
      </c>
    </row>
    <row r="3185" spans="9:10" x14ac:dyDescent="0.3">
      <c r="I3185" s="72">
        <v>1591.5</v>
      </c>
      <c r="J3185" s="70">
        <v>0.99080882352941169</v>
      </c>
    </row>
    <row r="3186" spans="9:10" x14ac:dyDescent="0.3">
      <c r="I3186" s="72">
        <v>1592</v>
      </c>
      <c r="J3186" s="70">
        <v>0.99080882352941169</v>
      </c>
    </row>
    <row r="3187" spans="9:10" x14ac:dyDescent="0.3">
      <c r="I3187" s="72">
        <v>1592.5</v>
      </c>
      <c r="J3187" s="70">
        <v>0.99080882352941169</v>
      </c>
    </row>
    <row r="3188" spans="9:10" x14ac:dyDescent="0.3">
      <c r="I3188" s="72">
        <v>1593</v>
      </c>
      <c r="J3188" s="70">
        <v>0.99080882352941169</v>
      </c>
    </row>
    <row r="3189" spans="9:10" x14ac:dyDescent="0.3">
      <c r="I3189" s="72">
        <v>1593.5</v>
      </c>
      <c r="J3189" s="70">
        <v>0.99080882352941169</v>
      </c>
    </row>
    <row r="3190" spans="9:10" x14ac:dyDescent="0.3">
      <c r="I3190" s="72">
        <v>1594</v>
      </c>
      <c r="J3190" s="70">
        <v>0.99080882352941169</v>
      </c>
    </row>
    <row r="3191" spans="9:10" x14ac:dyDescent="0.3">
      <c r="I3191" s="72">
        <v>1594.5</v>
      </c>
      <c r="J3191" s="70">
        <v>0.99080882352941169</v>
      </c>
    </row>
    <row r="3192" spans="9:10" x14ac:dyDescent="0.3">
      <c r="I3192" s="72">
        <v>1595</v>
      </c>
      <c r="J3192" s="70">
        <v>0.99080882352941169</v>
      </c>
    </row>
    <row r="3193" spans="9:10" x14ac:dyDescent="0.3">
      <c r="I3193" s="72">
        <v>1595.5</v>
      </c>
      <c r="J3193" s="70">
        <v>0.99080882352941169</v>
      </c>
    </row>
    <row r="3194" spans="9:10" x14ac:dyDescent="0.3">
      <c r="I3194" s="72">
        <v>1596</v>
      </c>
      <c r="J3194" s="70">
        <v>0.99080882352941169</v>
      </c>
    </row>
    <row r="3195" spans="9:10" x14ac:dyDescent="0.3">
      <c r="I3195" s="72">
        <v>1596.5</v>
      </c>
      <c r="J3195" s="70">
        <v>0.99080882352941169</v>
      </c>
    </row>
    <row r="3196" spans="9:10" x14ac:dyDescent="0.3">
      <c r="I3196" s="72">
        <v>1597</v>
      </c>
      <c r="J3196" s="70">
        <v>0.99080882352941169</v>
      </c>
    </row>
    <row r="3197" spans="9:10" x14ac:dyDescent="0.3">
      <c r="I3197" s="72">
        <v>1597.5</v>
      </c>
      <c r="J3197" s="70">
        <v>0.99264705882352933</v>
      </c>
    </row>
    <row r="3198" spans="9:10" x14ac:dyDescent="0.3">
      <c r="I3198" s="72">
        <v>1598</v>
      </c>
      <c r="J3198" s="70">
        <v>0.99264705882352933</v>
      </c>
    </row>
    <row r="3199" spans="9:10" x14ac:dyDescent="0.3">
      <c r="I3199" s="72">
        <v>1598.5</v>
      </c>
      <c r="J3199" s="70">
        <v>0.99264705882352933</v>
      </c>
    </row>
    <row r="3200" spans="9:10" x14ac:dyDescent="0.3">
      <c r="I3200" s="72">
        <v>1599</v>
      </c>
      <c r="J3200" s="70">
        <v>0.99264705882352933</v>
      </c>
    </row>
    <row r="3201" spans="9:10" x14ac:dyDescent="0.3">
      <c r="I3201" s="72">
        <v>1599.5</v>
      </c>
      <c r="J3201" s="70">
        <v>0.99264705882352933</v>
      </c>
    </row>
    <row r="3202" spans="9:10" x14ac:dyDescent="0.3">
      <c r="I3202" s="72">
        <v>1600</v>
      </c>
      <c r="J3202" s="70">
        <v>0.99264705882352933</v>
      </c>
    </row>
    <row r="3203" spans="9:10" x14ac:dyDescent="0.3">
      <c r="I3203" s="72">
        <v>1600.5</v>
      </c>
      <c r="J3203" s="70">
        <v>0.99264705882352933</v>
      </c>
    </row>
    <row r="3204" spans="9:10" x14ac:dyDescent="0.3">
      <c r="I3204" s="72">
        <v>1601</v>
      </c>
      <c r="J3204" s="70">
        <v>0.99264705882352933</v>
      </c>
    </row>
    <row r="3205" spans="9:10" x14ac:dyDescent="0.3">
      <c r="I3205" s="72">
        <v>1601.5</v>
      </c>
      <c r="J3205" s="70">
        <v>0.99264705882352933</v>
      </c>
    </row>
    <row r="3206" spans="9:10" x14ac:dyDescent="0.3">
      <c r="I3206" s="72">
        <v>1602</v>
      </c>
      <c r="J3206" s="70">
        <v>0.99264705882352933</v>
      </c>
    </row>
    <row r="3207" spans="9:10" x14ac:dyDescent="0.3">
      <c r="I3207" s="72">
        <v>1602.5</v>
      </c>
      <c r="J3207" s="70">
        <v>0.99264705882352933</v>
      </c>
    </row>
    <row r="3208" spans="9:10" x14ac:dyDescent="0.3">
      <c r="I3208" s="72">
        <v>1603</v>
      </c>
      <c r="J3208" s="70">
        <v>0.99264705882352933</v>
      </c>
    </row>
    <row r="3209" spans="9:10" x14ac:dyDescent="0.3">
      <c r="I3209" s="72">
        <v>1603.5</v>
      </c>
      <c r="J3209" s="70">
        <v>0.99264705882352933</v>
      </c>
    </row>
    <row r="3210" spans="9:10" x14ac:dyDescent="0.3">
      <c r="I3210" s="72">
        <v>1604</v>
      </c>
      <c r="J3210" s="70">
        <v>0.99264705882352933</v>
      </c>
    </row>
    <row r="3211" spans="9:10" x14ac:dyDescent="0.3">
      <c r="I3211" s="72">
        <v>1604.5</v>
      </c>
      <c r="J3211" s="70">
        <v>0.99264705882352933</v>
      </c>
    </row>
    <row r="3212" spans="9:10" x14ac:dyDescent="0.3">
      <c r="I3212" s="72">
        <v>1605</v>
      </c>
      <c r="J3212" s="70">
        <v>0.99264705882352933</v>
      </c>
    </row>
    <row r="3213" spans="9:10" x14ac:dyDescent="0.3">
      <c r="I3213" s="72">
        <v>1605.5</v>
      </c>
      <c r="J3213" s="70">
        <v>0.99264705882352933</v>
      </c>
    </row>
    <row r="3214" spans="9:10" x14ac:dyDescent="0.3">
      <c r="I3214" s="72">
        <v>1606</v>
      </c>
      <c r="J3214" s="70">
        <v>0.99264705882352933</v>
      </c>
    </row>
    <row r="3215" spans="9:10" x14ac:dyDescent="0.3">
      <c r="I3215" s="72">
        <v>1606.5</v>
      </c>
      <c r="J3215" s="70">
        <v>0.99264705882352933</v>
      </c>
    </row>
    <row r="3216" spans="9:10" x14ac:dyDescent="0.3">
      <c r="I3216" s="72">
        <v>1607</v>
      </c>
      <c r="J3216" s="70">
        <v>0.99264705882352933</v>
      </c>
    </row>
    <row r="3217" spans="9:10" x14ac:dyDescent="0.3">
      <c r="I3217" s="72">
        <v>1607.5</v>
      </c>
      <c r="J3217" s="70">
        <v>0.99264705882352933</v>
      </c>
    </row>
    <row r="3218" spans="9:10" x14ac:dyDescent="0.3">
      <c r="I3218" s="72">
        <v>1608</v>
      </c>
      <c r="J3218" s="70">
        <v>0.99264705882352933</v>
      </c>
    </row>
    <row r="3219" spans="9:10" x14ac:dyDescent="0.3">
      <c r="I3219" s="72">
        <v>1608.5</v>
      </c>
      <c r="J3219" s="70">
        <v>0.99264705882352933</v>
      </c>
    </row>
    <row r="3220" spans="9:10" x14ac:dyDescent="0.3">
      <c r="I3220" s="72">
        <v>1609</v>
      </c>
      <c r="J3220" s="70">
        <v>0.99264705882352933</v>
      </c>
    </row>
    <row r="3221" spans="9:10" x14ac:dyDescent="0.3">
      <c r="I3221" s="72">
        <v>1609.5</v>
      </c>
      <c r="J3221" s="70">
        <v>0.99264705882352933</v>
      </c>
    </row>
    <row r="3222" spans="9:10" x14ac:dyDescent="0.3">
      <c r="I3222" s="72">
        <v>1610</v>
      </c>
      <c r="J3222" s="70">
        <v>0.99264705882352933</v>
      </c>
    </row>
    <row r="3223" spans="9:10" x14ac:dyDescent="0.3">
      <c r="I3223" s="72">
        <v>1610.5</v>
      </c>
      <c r="J3223" s="70">
        <v>0.99264705882352933</v>
      </c>
    </row>
    <row r="3224" spans="9:10" x14ac:dyDescent="0.3">
      <c r="I3224" s="72">
        <v>1611</v>
      </c>
      <c r="J3224" s="70">
        <v>0.99264705882352933</v>
      </c>
    </row>
    <row r="3225" spans="9:10" x14ac:dyDescent="0.3">
      <c r="I3225" s="72">
        <v>1611.5</v>
      </c>
      <c r="J3225" s="70">
        <v>0.99264705882352933</v>
      </c>
    </row>
    <row r="3226" spans="9:10" x14ac:dyDescent="0.3">
      <c r="I3226" s="72">
        <v>1612</v>
      </c>
      <c r="J3226" s="70">
        <v>0.99264705882352933</v>
      </c>
    </row>
    <row r="3227" spans="9:10" x14ac:dyDescent="0.3">
      <c r="I3227" s="72">
        <v>1612.5</v>
      </c>
      <c r="J3227" s="70">
        <v>0.99264705882352933</v>
      </c>
    </row>
    <row r="3228" spans="9:10" x14ac:dyDescent="0.3">
      <c r="I3228" s="72">
        <v>1613</v>
      </c>
      <c r="J3228" s="70">
        <v>0.99264705882352933</v>
      </c>
    </row>
    <row r="3229" spans="9:10" x14ac:dyDescent="0.3">
      <c r="I3229" s="72">
        <v>1613.5</v>
      </c>
      <c r="J3229" s="70">
        <v>0.99264705882352933</v>
      </c>
    </row>
    <row r="3230" spans="9:10" x14ac:dyDescent="0.3">
      <c r="I3230" s="72">
        <v>1614</v>
      </c>
      <c r="J3230" s="70">
        <v>0.99264705882352933</v>
      </c>
    </row>
    <row r="3231" spans="9:10" x14ac:dyDescent="0.3">
      <c r="I3231" s="72">
        <v>1614.5</v>
      </c>
      <c r="J3231" s="70">
        <v>0.99264705882352933</v>
      </c>
    </row>
    <row r="3232" spans="9:10" x14ac:dyDescent="0.3">
      <c r="I3232" s="72">
        <v>1615</v>
      </c>
      <c r="J3232" s="70">
        <v>0.99264705882352933</v>
      </c>
    </row>
    <row r="3233" spans="9:10" x14ac:dyDescent="0.3">
      <c r="I3233" s="72">
        <v>1615.5</v>
      </c>
      <c r="J3233" s="70">
        <v>0.99264705882352933</v>
      </c>
    </row>
    <row r="3234" spans="9:10" x14ac:dyDescent="0.3">
      <c r="I3234" s="72">
        <v>1616</v>
      </c>
      <c r="J3234" s="70">
        <v>0.99264705882352933</v>
      </c>
    </row>
    <row r="3235" spans="9:10" x14ac:dyDescent="0.3">
      <c r="I3235" s="72">
        <v>1616.5</v>
      </c>
      <c r="J3235" s="70">
        <v>0.99264705882352933</v>
      </c>
    </row>
    <row r="3236" spans="9:10" x14ac:dyDescent="0.3">
      <c r="I3236" s="72">
        <v>1617</v>
      </c>
      <c r="J3236" s="70">
        <v>0.99264705882352933</v>
      </c>
    </row>
    <row r="3237" spans="9:10" x14ac:dyDescent="0.3">
      <c r="I3237" s="72">
        <v>1617.5</v>
      </c>
      <c r="J3237" s="70">
        <v>0.99264705882352933</v>
      </c>
    </row>
    <row r="3238" spans="9:10" x14ac:dyDescent="0.3">
      <c r="I3238" s="72">
        <v>1618</v>
      </c>
      <c r="J3238" s="70">
        <v>0.99264705882352933</v>
      </c>
    </row>
    <row r="3239" spans="9:10" x14ac:dyDescent="0.3">
      <c r="I3239" s="72">
        <v>1618.5</v>
      </c>
      <c r="J3239" s="70">
        <v>0.99264705882352933</v>
      </c>
    </row>
    <row r="3240" spans="9:10" x14ac:dyDescent="0.3">
      <c r="I3240" s="72">
        <v>1619</v>
      </c>
      <c r="J3240" s="70">
        <v>0.99264705882352933</v>
      </c>
    </row>
    <row r="3241" spans="9:10" x14ac:dyDescent="0.3">
      <c r="I3241" s="72">
        <v>1619.5</v>
      </c>
      <c r="J3241" s="70">
        <v>0.99264705882352933</v>
      </c>
    </row>
    <row r="3242" spans="9:10" x14ac:dyDescent="0.3">
      <c r="I3242" s="72">
        <v>1620</v>
      </c>
      <c r="J3242" s="70">
        <v>0.99264705882352933</v>
      </c>
    </row>
    <row r="3243" spans="9:10" x14ac:dyDescent="0.3">
      <c r="I3243" s="72">
        <v>1620.5</v>
      </c>
      <c r="J3243" s="70">
        <v>0.99264705882352933</v>
      </c>
    </row>
    <row r="3244" spans="9:10" x14ac:dyDescent="0.3">
      <c r="I3244" s="72">
        <v>1621</v>
      </c>
      <c r="J3244" s="70">
        <v>0.99264705882352933</v>
      </c>
    </row>
    <row r="3245" spans="9:10" x14ac:dyDescent="0.3">
      <c r="I3245" s="72">
        <v>1621.5</v>
      </c>
      <c r="J3245" s="70">
        <v>0.99264705882352933</v>
      </c>
    </row>
    <row r="3246" spans="9:10" x14ac:dyDescent="0.3">
      <c r="I3246" s="72">
        <v>1622</v>
      </c>
      <c r="J3246" s="70">
        <v>0.99264705882352933</v>
      </c>
    </row>
    <row r="3247" spans="9:10" x14ac:dyDescent="0.3">
      <c r="I3247" s="72">
        <v>1622.5</v>
      </c>
      <c r="J3247" s="70">
        <v>0.99264705882352933</v>
      </c>
    </row>
    <row r="3248" spans="9:10" x14ac:dyDescent="0.3">
      <c r="I3248" s="72">
        <v>1623</v>
      </c>
      <c r="J3248" s="70">
        <v>0.99264705882352933</v>
      </c>
    </row>
    <row r="3249" spans="9:10" x14ac:dyDescent="0.3">
      <c r="I3249" s="72">
        <v>1623.5</v>
      </c>
      <c r="J3249" s="70">
        <v>0.99264705882352933</v>
      </c>
    </row>
    <row r="3250" spans="9:10" x14ac:dyDescent="0.3">
      <c r="I3250" s="72">
        <v>1624</v>
      </c>
      <c r="J3250" s="70">
        <v>0.99264705882352933</v>
      </c>
    </row>
    <row r="3251" spans="9:10" x14ac:dyDescent="0.3">
      <c r="I3251" s="72">
        <v>1624.5</v>
      </c>
      <c r="J3251" s="70">
        <v>0.99264705882352933</v>
      </c>
    </row>
    <row r="3252" spans="9:10" x14ac:dyDescent="0.3">
      <c r="I3252" s="72">
        <v>1625</v>
      </c>
      <c r="J3252" s="70">
        <v>0.99264705882352933</v>
      </c>
    </row>
    <row r="3253" spans="9:10" x14ac:dyDescent="0.3">
      <c r="I3253" s="72">
        <v>1625.5</v>
      </c>
      <c r="J3253" s="70">
        <v>0.99264705882352933</v>
      </c>
    </row>
    <row r="3254" spans="9:10" x14ac:dyDescent="0.3">
      <c r="I3254" s="72">
        <v>1626</v>
      </c>
      <c r="J3254" s="70">
        <v>0.99264705882352933</v>
      </c>
    </row>
    <row r="3255" spans="9:10" x14ac:dyDescent="0.3">
      <c r="I3255" s="72">
        <v>1626.5</v>
      </c>
      <c r="J3255" s="70">
        <v>0.99264705882352933</v>
      </c>
    </row>
    <row r="3256" spans="9:10" x14ac:dyDescent="0.3">
      <c r="I3256" s="72">
        <v>1627</v>
      </c>
      <c r="J3256" s="70">
        <v>0.99264705882352933</v>
      </c>
    </row>
    <row r="3257" spans="9:10" x14ac:dyDescent="0.3">
      <c r="I3257" s="72">
        <v>1627.5</v>
      </c>
      <c r="J3257" s="70">
        <v>0.99264705882352933</v>
      </c>
    </row>
    <row r="3258" spans="9:10" x14ac:dyDescent="0.3">
      <c r="I3258" s="72">
        <v>1628</v>
      </c>
      <c r="J3258" s="70">
        <v>0.99264705882352933</v>
      </c>
    </row>
    <row r="3259" spans="9:10" x14ac:dyDescent="0.3">
      <c r="I3259" s="72">
        <v>1628.5</v>
      </c>
      <c r="J3259" s="70">
        <v>0.99264705882352933</v>
      </c>
    </row>
    <row r="3260" spans="9:10" x14ac:dyDescent="0.3">
      <c r="I3260" s="72">
        <v>1629</v>
      </c>
      <c r="J3260" s="70">
        <v>0.99264705882352933</v>
      </c>
    </row>
    <row r="3261" spans="9:10" x14ac:dyDescent="0.3">
      <c r="I3261" s="72">
        <v>1629.5</v>
      </c>
      <c r="J3261" s="70">
        <v>0.99264705882352933</v>
      </c>
    </row>
    <row r="3262" spans="9:10" x14ac:dyDescent="0.3">
      <c r="I3262" s="72">
        <v>1630</v>
      </c>
      <c r="J3262" s="70">
        <v>0.99264705882352933</v>
      </c>
    </row>
    <row r="3263" spans="9:10" x14ac:dyDescent="0.3">
      <c r="I3263" s="72">
        <v>1630.5</v>
      </c>
      <c r="J3263" s="70">
        <v>0.99264705882352933</v>
      </c>
    </row>
    <row r="3264" spans="9:10" x14ac:dyDescent="0.3">
      <c r="I3264" s="72">
        <v>1631</v>
      </c>
      <c r="J3264" s="70">
        <v>0.99264705882352933</v>
      </c>
    </row>
    <row r="3265" spans="9:10" x14ac:dyDescent="0.3">
      <c r="I3265" s="72">
        <v>1631.5</v>
      </c>
      <c r="J3265" s="70">
        <v>0.99264705882352933</v>
      </c>
    </row>
    <row r="3266" spans="9:10" x14ac:dyDescent="0.3">
      <c r="I3266" s="72">
        <v>1632</v>
      </c>
      <c r="J3266" s="70">
        <v>0.99264705882352933</v>
      </c>
    </row>
    <row r="3267" spans="9:10" x14ac:dyDescent="0.3">
      <c r="I3267" s="72">
        <v>1632.5</v>
      </c>
      <c r="J3267" s="70">
        <v>0.99264705882352933</v>
      </c>
    </row>
    <row r="3268" spans="9:10" x14ac:dyDescent="0.3">
      <c r="I3268" s="72">
        <v>1633</v>
      </c>
      <c r="J3268" s="70">
        <v>0.99264705882352933</v>
      </c>
    </row>
    <row r="3269" spans="9:10" x14ac:dyDescent="0.3">
      <c r="I3269" s="72">
        <v>1633.5</v>
      </c>
      <c r="J3269" s="70">
        <v>0.99264705882352933</v>
      </c>
    </row>
    <row r="3270" spans="9:10" x14ac:dyDescent="0.3">
      <c r="I3270" s="72">
        <v>1634</v>
      </c>
      <c r="J3270" s="70">
        <v>0.99264705882352933</v>
      </c>
    </row>
    <row r="3271" spans="9:10" x14ac:dyDescent="0.3">
      <c r="I3271" s="72">
        <v>1634.5</v>
      </c>
      <c r="J3271" s="70">
        <v>0.99264705882352933</v>
      </c>
    </row>
    <row r="3272" spans="9:10" x14ac:dyDescent="0.3">
      <c r="I3272" s="72">
        <v>1635</v>
      </c>
      <c r="J3272" s="70">
        <v>0.99264705882352933</v>
      </c>
    </row>
    <row r="3273" spans="9:10" x14ac:dyDescent="0.3">
      <c r="I3273" s="72">
        <v>1635.5</v>
      </c>
      <c r="J3273" s="70">
        <v>0.99264705882352933</v>
      </c>
    </row>
    <row r="3274" spans="9:10" x14ac:dyDescent="0.3">
      <c r="I3274" s="72">
        <v>1636</v>
      </c>
      <c r="J3274" s="70">
        <v>0.99264705882352933</v>
      </c>
    </row>
    <row r="3275" spans="9:10" x14ac:dyDescent="0.3">
      <c r="I3275" s="72">
        <v>1636.5</v>
      </c>
      <c r="J3275" s="70">
        <v>0.99264705882352933</v>
      </c>
    </row>
    <row r="3276" spans="9:10" x14ac:dyDescent="0.3">
      <c r="I3276" s="72">
        <v>1637</v>
      </c>
      <c r="J3276" s="70">
        <v>0.99264705882352933</v>
      </c>
    </row>
    <row r="3277" spans="9:10" x14ac:dyDescent="0.3">
      <c r="I3277" s="72">
        <v>1637.5</v>
      </c>
      <c r="J3277" s="70">
        <v>0.99264705882352933</v>
      </c>
    </row>
    <row r="3278" spans="9:10" x14ac:dyDescent="0.3">
      <c r="I3278" s="72">
        <v>1638</v>
      </c>
      <c r="J3278" s="70">
        <v>0.99264705882352933</v>
      </c>
    </row>
    <row r="3279" spans="9:10" x14ac:dyDescent="0.3">
      <c r="I3279" s="72">
        <v>1638.5</v>
      </c>
      <c r="J3279" s="70">
        <v>0.99264705882352933</v>
      </c>
    </row>
    <row r="3280" spans="9:10" x14ac:dyDescent="0.3">
      <c r="I3280" s="72">
        <v>1639</v>
      </c>
      <c r="J3280" s="70">
        <v>0.99264705882352933</v>
      </c>
    </row>
    <row r="3281" spans="9:10" x14ac:dyDescent="0.3">
      <c r="I3281" s="72">
        <v>1639.5</v>
      </c>
      <c r="J3281" s="70">
        <v>0.99264705882352933</v>
      </c>
    </row>
    <row r="3282" spans="9:10" x14ac:dyDescent="0.3">
      <c r="I3282" s="72">
        <v>1640</v>
      </c>
      <c r="J3282" s="70">
        <v>0.99264705882352933</v>
      </c>
    </row>
    <row r="3283" spans="9:10" x14ac:dyDescent="0.3">
      <c r="I3283" s="72">
        <v>1640.5</v>
      </c>
      <c r="J3283" s="70">
        <v>0.99264705882352933</v>
      </c>
    </row>
    <row r="3284" spans="9:10" x14ac:dyDescent="0.3">
      <c r="I3284" s="72">
        <v>1641</v>
      </c>
      <c r="J3284" s="70">
        <v>0.99264705882352933</v>
      </c>
    </row>
    <row r="3285" spans="9:10" x14ac:dyDescent="0.3">
      <c r="I3285" s="72">
        <v>1641.5</v>
      </c>
      <c r="J3285" s="70">
        <v>0.99264705882352933</v>
      </c>
    </row>
    <row r="3286" spans="9:10" x14ac:dyDescent="0.3">
      <c r="I3286" s="72">
        <v>1642</v>
      </c>
      <c r="J3286" s="70">
        <v>0.99264705882352933</v>
      </c>
    </row>
    <row r="3287" spans="9:10" x14ac:dyDescent="0.3">
      <c r="I3287" s="72">
        <v>1642.5</v>
      </c>
      <c r="J3287" s="70">
        <v>0.99264705882352933</v>
      </c>
    </row>
    <row r="3288" spans="9:10" x14ac:dyDescent="0.3">
      <c r="I3288" s="72">
        <v>1643</v>
      </c>
      <c r="J3288" s="70">
        <v>0.99264705882352933</v>
      </c>
    </row>
    <row r="3289" spans="9:10" x14ac:dyDescent="0.3">
      <c r="I3289" s="72">
        <v>1643.5</v>
      </c>
      <c r="J3289" s="70">
        <v>0.99264705882352933</v>
      </c>
    </row>
    <row r="3290" spans="9:10" x14ac:dyDescent="0.3">
      <c r="I3290" s="72">
        <v>1644</v>
      </c>
      <c r="J3290" s="70">
        <v>0.99264705882352933</v>
      </c>
    </row>
    <row r="3291" spans="9:10" x14ac:dyDescent="0.3">
      <c r="I3291" s="72">
        <v>1644.5</v>
      </c>
      <c r="J3291" s="70">
        <v>0.99264705882352933</v>
      </c>
    </row>
    <row r="3292" spans="9:10" x14ac:dyDescent="0.3">
      <c r="I3292" s="72">
        <v>1645</v>
      </c>
      <c r="J3292" s="70">
        <v>0.99264705882352933</v>
      </c>
    </row>
    <row r="3293" spans="9:10" x14ac:dyDescent="0.3">
      <c r="I3293" s="72">
        <v>1645.5</v>
      </c>
      <c r="J3293" s="70">
        <v>0.99264705882352933</v>
      </c>
    </row>
    <row r="3294" spans="9:10" x14ac:dyDescent="0.3">
      <c r="I3294" s="72">
        <v>1646</v>
      </c>
      <c r="J3294" s="70">
        <v>0.99264705882352933</v>
      </c>
    </row>
    <row r="3295" spans="9:10" x14ac:dyDescent="0.3">
      <c r="I3295" s="72">
        <v>1646.5</v>
      </c>
      <c r="J3295" s="70">
        <v>0.99264705882352933</v>
      </c>
    </row>
    <row r="3296" spans="9:10" x14ac:dyDescent="0.3">
      <c r="I3296" s="72">
        <v>1647</v>
      </c>
      <c r="J3296" s="70">
        <v>0.99264705882352933</v>
      </c>
    </row>
    <row r="3297" spans="9:10" x14ac:dyDescent="0.3">
      <c r="I3297" s="72">
        <v>1647.5</v>
      </c>
      <c r="J3297" s="70">
        <v>0.99264705882352933</v>
      </c>
    </row>
    <row r="3298" spans="9:10" x14ac:dyDescent="0.3">
      <c r="I3298" s="72">
        <v>1648</v>
      </c>
      <c r="J3298" s="70">
        <v>0.99264705882352933</v>
      </c>
    </row>
    <row r="3299" spans="9:10" x14ac:dyDescent="0.3">
      <c r="I3299" s="72">
        <v>1648.5</v>
      </c>
      <c r="J3299" s="70">
        <v>0.99264705882352933</v>
      </c>
    </row>
    <row r="3300" spans="9:10" x14ac:dyDescent="0.3">
      <c r="I3300" s="72">
        <v>1649</v>
      </c>
      <c r="J3300" s="70">
        <v>0.99264705882352933</v>
      </c>
    </row>
    <row r="3301" spans="9:10" x14ac:dyDescent="0.3">
      <c r="I3301" s="72">
        <v>1649.5</v>
      </c>
      <c r="J3301" s="70">
        <v>0.99264705882352933</v>
      </c>
    </row>
    <row r="3302" spans="9:10" x14ac:dyDescent="0.3">
      <c r="I3302" s="72">
        <v>1650</v>
      </c>
      <c r="J3302" s="70">
        <v>0.99264705882352933</v>
      </c>
    </row>
    <row r="3303" spans="9:10" x14ac:dyDescent="0.3">
      <c r="I3303" s="72">
        <v>1650.5</v>
      </c>
      <c r="J3303" s="70">
        <v>0.99264705882352933</v>
      </c>
    </row>
    <row r="3304" spans="9:10" x14ac:dyDescent="0.3">
      <c r="I3304" s="72">
        <v>1651</v>
      </c>
      <c r="J3304" s="70">
        <v>0.99264705882352933</v>
      </c>
    </row>
    <row r="3305" spans="9:10" x14ac:dyDescent="0.3">
      <c r="I3305" s="72">
        <v>1651.5</v>
      </c>
      <c r="J3305" s="70">
        <v>0.99264705882352933</v>
      </c>
    </row>
    <row r="3306" spans="9:10" x14ac:dyDescent="0.3">
      <c r="I3306" s="72">
        <v>1652</v>
      </c>
      <c r="J3306" s="70">
        <v>0.99264705882352933</v>
      </c>
    </row>
    <row r="3307" spans="9:10" x14ac:dyDescent="0.3">
      <c r="I3307" s="72">
        <v>1652.5</v>
      </c>
      <c r="J3307" s="70">
        <v>0.99264705882352933</v>
      </c>
    </row>
    <row r="3308" spans="9:10" x14ac:dyDescent="0.3">
      <c r="I3308" s="72">
        <v>1653</v>
      </c>
      <c r="J3308" s="70">
        <v>0.99264705882352933</v>
      </c>
    </row>
    <row r="3309" spans="9:10" x14ac:dyDescent="0.3">
      <c r="I3309" s="72">
        <v>1653.5</v>
      </c>
      <c r="J3309" s="70">
        <v>0.99264705882352933</v>
      </c>
    </row>
    <row r="3310" spans="9:10" x14ac:dyDescent="0.3">
      <c r="I3310" s="72">
        <v>1654</v>
      </c>
      <c r="J3310" s="70">
        <v>0.99264705882352933</v>
      </c>
    </row>
    <row r="3311" spans="9:10" x14ac:dyDescent="0.3">
      <c r="I3311" s="72">
        <v>1654.5</v>
      </c>
      <c r="J3311" s="70">
        <v>0.99264705882352933</v>
      </c>
    </row>
    <row r="3312" spans="9:10" x14ac:dyDescent="0.3">
      <c r="I3312" s="72">
        <v>1655</v>
      </c>
      <c r="J3312" s="70">
        <v>0.99264705882352933</v>
      </c>
    </row>
    <row r="3313" spans="9:10" x14ac:dyDescent="0.3">
      <c r="I3313" s="72">
        <v>1655.5</v>
      </c>
      <c r="J3313" s="70">
        <v>0.99264705882352933</v>
      </c>
    </row>
    <row r="3314" spans="9:10" x14ac:dyDescent="0.3">
      <c r="I3314" s="72">
        <v>1656</v>
      </c>
      <c r="J3314" s="70">
        <v>0.99264705882352933</v>
      </c>
    </row>
    <row r="3315" spans="9:10" x14ac:dyDescent="0.3">
      <c r="I3315" s="72">
        <v>1656.5</v>
      </c>
      <c r="J3315" s="70">
        <v>0.99264705882352933</v>
      </c>
    </row>
    <row r="3316" spans="9:10" x14ac:dyDescent="0.3">
      <c r="I3316" s="72">
        <v>1657</v>
      </c>
      <c r="J3316" s="70">
        <v>0.99264705882352933</v>
      </c>
    </row>
    <row r="3317" spans="9:10" x14ac:dyDescent="0.3">
      <c r="I3317" s="72">
        <v>1657.5</v>
      </c>
      <c r="J3317" s="70">
        <v>0.99264705882352933</v>
      </c>
    </row>
    <row r="3318" spans="9:10" x14ac:dyDescent="0.3">
      <c r="I3318" s="72">
        <v>1658</v>
      </c>
      <c r="J3318" s="70">
        <v>0.99264705882352933</v>
      </c>
    </row>
    <row r="3319" spans="9:10" x14ac:dyDescent="0.3">
      <c r="I3319" s="72">
        <v>1658.5</v>
      </c>
      <c r="J3319" s="70">
        <v>0.99264705882352933</v>
      </c>
    </row>
    <row r="3320" spans="9:10" x14ac:dyDescent="0.3">
      <c r="I3320" s="72">
        <v>1659</v>
      </c>
      <c r="J3320" s="70">
        <v>0.99264705882352933</v>
      </c>
    </row>
    <row r="3321" spans="9:10" x14ac:dyDescent="0.3">
      <c r="I3321" s="72">
        <v>1659.5</v>
      </c>
      <c r="J3321" s="70">
        <v>0.99264705882352933</v>
      </c>
    </row>
    <row r="3322" spans="9:10" x14ac:dyDescent="0.3">
      <c r="I3322" s="72">
        <v>1660</v>
      </c>
      <c r="J3322" s="70">
        <v>0.99264705882352933</v>
      </c>
    </row>
    <row r="3323" spans="9:10" x14ac:dyDescent="0.3">
      <c r="I3323" s="72">
        <v>1660.5</v>
      </c>
      <c r="J3323" s="70">
        <v>0.99264705882352933</v>
      </c>
    </row>
    <row r="3324" spans="9:10" x14ac:dyDescent="0.3">
      <c r="I3324" s="72">
        <v>1661</v>
      </c>
      <c r="J3324" s="70">
        <v>0.99264705882352933</v>
      </c>
    </row>
    <row r="3325" spans="9:10" x14ac:dyDescent="0.3">
      <c r="I3325" s="72">
        <v>1661.5</v>
      </c>
      <c r="J3325" s="70">
        <v>0.99264705882352933</v>
      </c>
    </row>
    <row r="3326" spans="9:10" x14ac:dyDescent="0.3">
      <c r="I3326" s="72">
        <v>1662</v>
      </c>
      <c r="J3326" s="70">
        <v>0.99264705882352933</v>
      </c>
    </row>
    <row r="3327" spans="9:10" x14ac:dyDescent="0.3">
      <c r="I3327" s="72">
        <v>1662.5</v>
      </c>
      <c r="J3327" s="70">
        <v>0.99264705882352933</v>
      </c>
    </row>
    <row r="3328" spans="9:10" x14ac:dyDescent="0.3">
      <c r="I3328" s="72">
        <v>1663</v>
      </c>
      <c r="J3328" s="70">
        <v>0.99264705882352933</v>
      </c>
    </row>
    <row r="3329" spans="9:10" x14ac:dyDescent="0.3">
      <c r="I3329" s="72">
        <v>1663.5</v>
      </c>
      <c r="J3329" s="70">
        <v>0.99264705882352933</v>
      </c>
    </row>
    <row r="3330" spans="9:10" x14ac:dyDescent="0.3">
      <c r="I3330" s="72">
        <v>1664</v>
      </c>
      <c r="J3330" s="70">
        <v>0.99264705882352933</v>
      </c>
    </row>
    <row r="3331" spans="9:10" x14ac:dyDescent="0.3">
      <c r="I3331" s="72">
        <v>1664.5</v>
      </c>
      <c r="J3331" s="70">
        <v>0.99264705882352933</v>
      </c>
    </row>
    <row r="3332" spans="9:10" x14ac:dyDescent="0.3">
      <c r="I3332" s="72">
        <v>1665</v>
      </c>
      <c r="J3332" s="70">
        <v>0.99264705882352933</v>
      </c>
    </row>
    <row r="3333" spans="9:10" x14ac:dyDescent="0.3">
      <c r="I3333" s="72">
        <v>1665.5</v>
      </c>
      <c r="J3333" s="70">
        <v>0.99264705882352933</v>
      </c>
    </row>
    <row r="3334" spans="9:10" x14ac:dyDescent="0.3">
      <c r="I3334" s="72">
        <v>1666</v>
      </c>
      <c r="J3334" s="70">
        <v>0.99264705882352933</v>
      </c>
    </row>
    <row r="3335" spans="9:10" x14ac:dyDescent="0.3">
      <c r="I3335" s="72">
        <v>1666.5</v>
      </c>
      <c r="J3335" s="70">
        <v>0.99264705882352933</v>
      </c>
    </row>
    <row r="3336" spans="9:10" x14ac:dyDescent="0.3">
      <c r="I3336" s="72">
        <v>1667</v>
      </c>
      <c r="J3336" s="70">
        <v>0.99264705882352933</v>
      </c>
    </row>
    <row r="3337" spans="9:10" x14ac:dyDescent="0.3">
      <c r="I3337" s="72">
        <v>1667.5</v>
      </c>
      <c r="J3337" s="70">
        <v>0.99264705882352933</v>
      </c>
    </row>
    <row r="3338" spans="9:10" x14ac:dyDescent="0.3">
      <c r="I3338" s="72">
        <v>1668</v>
      </c>
      <c r="J3338" s="70">
        <v>0.99264705882352933</v>
      </c>
    </row>
    <row r="3339" spans="9:10" x14ac:dyDescent="0.3">
      <c r="I3339" s="72">
        <v>1668.5</v>
      </c>
      <c r="J3339" s="70">
        <v>0.99264705882352933</v>
      </c>
    </row>
    <row r="3340" spans="9:10" x14ac:dyDescent="0.3">
      <c r="I3340" s="72">
        <v>1669</v>
      </c>
      <c r="J3340" s="70">
        <v>0.99264705882352933</v>
      </c>
    </row>
    <row r="3341" spans="9:10" x14ac:dyDescent="0.3">
      <c r="I3341" s="72">
        <v>1669.5</v>
      </c>
      <c r="J3341" s="70">
        <v>0.99264705882352933</v>
      </c>
    </row>
    <row r="3342" spans="9:10" x14ac:dyDescent="0.3">
      <c r="I3342" s="72">
        <v>1670</v>
      </c>
      <c r="J3342" s="70">
        <v>0.99264705882352933</v>
      </c>
    </row>
    <row r="3343" spans="9:10" x14ac:dyDescent="0.3">
      <c r="I3343" s="72">
        <v>1670.5</v>
      </c>
      <c r="J3343" s="70">
        <v>0.99264705882352933</v>
      </c>
    </row>
    <row r="3344" spans="9:10" x14ac:dyDescent="0.3">
      <c r="I3344" s="72">
        <v>1671</v>
      </c>
      <c r="J3344" s="70">
        <v>0.99264705882352933</v>
      </c>
    </row>
    <row r="3345" spans="9:10" x14ac:dyDescent="0.3">
      <c r="I3345" s="72">
        <v>1671.5</v>
      </c>
      <c r="J3345" s="70">
        <v>0.99264705882352933</v>
      </c>
    </row>
    <row r="3346" spans="9:10" x14ac:dyDescent="0.3">
      <c r="I3346" s="72">
        <v>1672</v>
      </c>
      <c r="J3346" s="70">
        <v>0.99264705882352933</v>
      </c>
    </row>
    <row r="3347" spans="9:10" x14ac:dyDescent="0.3">
      <c r="I3347" s="72">
        <v>1672.5</v>
      </c>
      <c r="J3347" s="70">
        <v>0.99264705882352933</v>
      </c>
    </row>
    <row r="3348" spans="9:10" x14ac:dyDescent="0.3">
      <c r="I3348" s="72">
        <v>1673</v>
      </c>
      <c r="J3348" s="70">
        <v>0.99264705882352933</v>
      </c>
    </row>
    <row r="3349" spans="9:10" x14ac:dyDescent="0.3">
      <c r="I3349" s="72">
        <v>1673.5</v>
      </c>
      <c r="J3349" s="70">
        <v>0.99264705882352933</v>
      </c>
    </row>
    <row r="3350" spans="9:10" x14ac:dyDescent="0.3">
      <c r="I3350" s="72">
        <v>1674</v>
      </c>
      <c r="J3350" s="70">
        <v>0.99264705882352933</v>
      </c>
    </row>
    <row r="3351" spans="9:10" x14ac:dyDescent="0.3">
      <c r="I3351" s="72">
        <v>1674.5</v>
      </c>
      <c r="J3351" s="70">
        <v>0.99264705882352933</v>
      </c>
    </row>
    <row r="3352" spans="9:10" x14ac:dyDescent="0.3">
      <c r="I3352" s="72">
        <v>1675</v>
      </c>
      <c r="J3352" s="70">
        <v>0.99264705882352933</v>
      </c>
    </row>
    <row r="3353" spans="9:10" x14ac:dyDescent="0.3">
      <c r="I3353" s="72">
        <v>1675.5</v>
      </c>
      <c r="J3353" s="70">
        <v>0.99264705882352933</v>
      </c>
    </row>
    <row r="3354" spans="9:10" x14ac:dyDescent="0.3">
      <c r="I3354" s="72">
        <v>1676</v>
      </c>
      <c r="J3354" s="70">
        <v>0.99264705882352933</v>
      </c>
    </row>
    <row r="3355" spans="9:10" x14ac:dyDescent="0.3">
      <c r="I3355" s="72">
        <v>1676.5</v>
      </c>
      <c r="J3355" s="70">
        <v>0.99264705882352933</v>
      </c>
    </row>
    <row r="3356" spans="9:10" x14ac:dyDescent="0.3">
      <c r="I3356" s="72">
        <v>1677</v>
      </c>
      <c r="J3356" s="70">
        <v>0.99264705882352933</v>
      </c>
    </row>
    <row r="3357" spans="9:10" x14ac:dyDescent="0.3">
      <c r="I3357" s="72">
        <v>1677.5</v>
      </c>
      <c r="J3357" s="70">
        <v>0.99264705882352933</v>
      </c>
    </row>
    <row r="3358" spans="9:10" x14ac:dyDescent="0.3">
      <c r="I3358" s="72">
        <v>1678</v>
      </c>
      <c r="J3358" s="70">
        <v>0.99264705882352933</v>
      </c>
    </row>
    <row r="3359" spans="9:10" x14ac:dyDescent="0.3">
      <c r="I3359" s="72">
        <v>1678.5</v>
      </c>
      <c r="J3359" s="70">
        <v>0.99264705882352933</v>
      </c>
    </row>
    <row r="3360" spans="9:10" x14ac:dyDescent="0.3">
      <c r="I3360" s="72">
        <v>1679</v>
      </c>
      <c r="J3360" s="70">
        <v>0.99264705882352933</v>
      </c>
    </row>
    <row r="3361" spans="9:10" x14ac:dyDescent="0.3">
      <c r="I3361" s="72">
        <v>1679.5</v>
      </c>
      <c r="J3361" s="70">
        <v>0.99264705882352933</v>
      </c>
    </row>
    <row r="3362" spans="9:10" x14ac:dyDescent="0.3">
      <c r="I3362" s="72">
        <v>1680</v>
      </c>
      <c r="J3362" s="70">
        <v>0.99264705882352933</v>
      </c>
    </row>
    <row r="3363" spans="9:10" x14ac:dyDescent="0.3">
      <c r="I3363" s="72">
        <v>1680.5</v>
      </c>
      <c r="J3363" s="70">
        <v>0.99264705882352933</v>
      </c>
    </row>
    <row r="3364" spans="9:10" x14ac:dyDescent="0.3">
      <c r="I3364" s="72">
        <v>1681</v>
      </c>
      <c r="J3364" s="70">
        <v>0.99264705882352933</v>
      </c>
    </row>
    <row r="3365" spans="9:10" x14ac:dyDescent="0.3">
      <c r="I3365" s="72">
        <v>1681.5</v>
      </c>
      <c r="J3365" s="70">
        <v>0.99264705882352933</v>
      </c>
    </row>
    <row r="3366" spans="9:10" x14ac:dyDescent="0.3">
      <c r="I3366" s="72">
        <v>1682</v>
      </c>
      <c r="J3366" s="70">
        <v>0.99264705882352933</v>
      </c>
    </row>
    <row r="3367" spans="9:10" x14ac:dyDescent="0.3">
      <c r="I3367" s="72">
        <v>1682.5</v>
      </c>
      <c r="J3367" s="70">
        <v>0.99264705882352933</v>
      </c>
    </row>
    <row r="3368" spans="9:10" x14ac:dyDescent="0.3">
      <c r="I3368" s="72">
        <v>1683</v>
      </c>
      <c r="J3368" s="70">
        <v>0.99264705882352933</v>
      </c>
    </row>
    <row r="3369" spans="9:10" x14ac:dyDescent="0.3">
      <c r="I3369" s="72">
        <v>1683.5</v>
      </c>
      <c r="J3369" s="70">
        <v>0.99264705882352933</v>
      </c>
    </row>
    <row r="3370" spans="9:10" x14ac:dyDescent="0.3">
      <c r="I3370" s="72">
        <v>1684</v>
      </c>
      <c r="J3370" s="70">
        <v>0.99264705882352933</v>
      </c>
    </row>
    <row r="3371" spans="9:10" x14ac:dyDescent="0.3">
      <c r="I3371" s="72">
        <v>1684.5</v>
      </c>
      <c r="J3371" s="70">
        <v>0.99264705882352933</v>
      </c>
    </row>
    <row r="3372" spans="9:10" x14ac:dyDescent="0.3">
      <c r="I3372" s="72">
        <v>1685</v>
      </c>
      <c r="J3372" s="70">
        <v>0.99264705882352933</v>
      </c>
    </row>
    <row r="3373" spans="9:10" x14ac:dyDescent="0.3">
      <c r="I3373" s="72">
        <v>1685.5</v>
      </c>
      <c r="J3373" s="70">
        <v>0.99264705882352933</v>
      </c>
    </row>
    <row r="3374" spans="9:10" x14ac:dyDescent="0.3">
      <c r="I3374" s="72">
        <v>1686</v>
      </c>
      <c r="J3374" s="70">
        <v>0.99264705882352933</v>
      </c>
    </row>
    <row r="3375" spans="9:10" x14ac:dyDescent="0.3">
      <c r="I3375" s="72">
        <v>1686.5</v>
      </c>
      <c r="J3375" s="70">
        <v>0.99264705882352933</v>
      </c>
    </row>
    <row r="3376" spans="9:10" x14ac:dyDescent="0.3">
      <c r="I3376" s="72">
        <v>1687</v>
      </c>
      <c r="J3376" s="70">
        <v>0.99264705882352933</v>
      </c>
    </row>
    <row r="3377" spans="9:10" x14ac:dyDescent="0.3">
      <c r="I3377" s="72">
        <v>1687.5</v>
      </c>
      <c r="J3377" s="70">
        <v>0.99264705882352933</v>
      </c>
    </row>
    <row r="3378" spans="9:10" x14ac:dyDescent="0.3">
      <c r="I3378" s="72">
        <v>1688</v>
      </c>
      <c r="J3378" s="70">
        <v>0.99264705882352933</v>
      </c>
    </row>
    <row r="3379" spans="9:10" x14ac:dyDescent="0.3">
      <c r="I3379" s="72">
        <v>1688.5</v>
      </c>
      <c r="J3379" s="70">
        <v>0.99264705882352933</v>
      </c>
    </row>
    <row r="3380" spans="9:10" x14ac:dyDescent="0.3">
      <c r="I3380" s="72">
        <v>1689</v>
      </c>
      <c r="J3380" s="70">
        <v>0.99264705882352933</v>
      </c>
    </row>
    <row r="3381" spans="9:10" x14ac:dyDescent="0.3">
      <c r="I3381" s="72">
        <v>1689.5</v>
      </c>
      <c r="J3381" s="70">
        <v>0.99264705882352933</v>
      </c>
    </row>
    <row r="3382" spans="9:10" x14ac:dyDescent="0.3">
      <c r="I3382" s="72">
        <v>1690</v>
      </c>
      <c r="J3382" s="70">
        <v>0.99264705882352933</v>
      </c>
    </row>
    <row r="3383" spans="9:10" x14ac:dyDescent="0.3">
      <c r="I3383" s="72">
        <v>1690.5</v>
      </c>
      <c r="J3383" s="70">
        <v>0.99264705882352933</v>
      </c>
    </row>
    <row r="3384" spans="9:10" x14ac:dyDescent="0.3">
      <c r="I3384" s="72">
        <v>1691</v>
      </c>
      <c r="J3384" s="70">
        <v>0.99264705882352933</v>
      </c>
    </row>
    <row r="3385" spans="9:10" x14ac:dyDescent="0.3">
      <c r="I3385" s="72">
        <v>1691.5</v>
      </c>
      <c r="J3385" s="70">
        <v>0.99264705882352933</v>
      </c>
    </row>
    <row r="3386" spans="9:10" x14ac:dyDescent="0.3">
      <c r="I3386" s="72">
        <v>1692</v>
      </c>
      <c r="J3386" s="70">
        <v>0.99264705882352933</v>
      </c>
    </row>
    <row r="3387" spans="9:10" x14ac:dyDescent="0.3">
      <c r="I3387" s="72">
        <v>1692.5</v>
      </c>
      <c r="J3387" s="70">
        <v>0.99264705882352933</v>
      </c>
    </row>
    <row r="3388" spans="9:10" x14ac:dyDescent="0.3">
      <c r="I3388" s="72">
        <v>1693</v>
      </c>
      <c r="J3388" s="70">
        <v>0.99264705882352933</v>
      </c>
    </row>
    <row r="3389" spans="9:10" x14ac:dyDescent="0.3">
      <c r="I3389" s="72">
        <v>1693.5</v>
      </c>
      <c r="J3389" s="70">
        <v>0.99264705882352933</v>
      </c>
    </row>
    <row r="3390" spans="9:10" x14ac:dyDescent="0.3">
      <c r="I3390" s="72">
        <v>1694</v>
      </c>
      <c r="J3390" s="70">
        <v>0.99264705882352933</v>
      </c>
    </row>
    <row r="3391" spans="9:10" x14ac:dyDescent="0.3">
      <c r="I3391" s="72">
        <v>1694.5</v>
      </c>
      <c r="J3391" s="70">
        <v>0.99264705882352933</v>
      </c>
    </row>
    <row r="3392" spans="9:10" x14ac:dyDescent="0.3">
      <c r="I3392" s="72">
        <v>1695</v>
      </c>
      <c r="J3392" s="70">
        <v>0.99264705882352933</v>
      </c>
    </row>
    <row r="3393" spans="9:10" x14ac:dyDescent="0.3">
      <c r="I3393" s="72">
        <v>1695.5</v>
      </c>
      <c r="J3393" s="70">
        <v>0.99264705882352933</v>
      </c>
    </row>
    <row r="3394" spans="9:10" x14ac:dyDescent="0.3">
      <c r="I3394" s="72">
        <v>1696</v>
      </c>
      <c r="J3394" s="70">
        <v>0.99264705882352933</v>
      </c>
    </row>
    <row r="3395" spans="9:10" x14ac:dyDescent="0.3">
      <c r="I3395" s="72">
        <v>1696.5</v>
      </c>
      <c r="J3395" s="70">
        <v>0.99264705882352933</v>
      </c>
    </row>
    <row r="3396" spans="9:10" x14ac:dyDescent="0.3">
      <c r="I3396" s="72">
        <v>1697</v>
      </c>
      <c r="J3396" s="70">
        <v>0.99264705882352933</v>
      </c>
    </row>
    <row r="3397" spans="9:10" x14ac:dyDescent="0.3">
      <c r="I3397" s="72">
        <v>1697.5</v>
      </c>
      <c r="J3397" s="70">
        <v>0.99264705882352933</v>
      </c>
    </row>
    <row r="3398" spans="9:10" x14ac:dyDescent="0.3">
      <c r="I3398" s="72">
        <v>1698</v>
      </c>
      <c r="J3398" s="70">
        <v>0.99264705882352933</v>
      </c>
    </row>
    <row r="3399" spans="9:10" x14ac:dyDescent="0.3">
      <c r="I3399" s="72">
        <v>1698.5</v>
      </c>
      <c r="J3399" s="70">
        <v>0.99264705882352933</v>
      </c>
    </row>
    <row r="3400" spans="9:10" x14ac:dyDescent="0.3">
      <c r="I3400" s="72">
        <v>1699</v>
      </c>
      <c r="J3400" s="70">
        <v>0.99264705882352933</v>
      </c>
    </row>
    <row r="3401" spans="9:10" x14ac:dyDescent="0.3">
      <c r="I3401" s="72">
        <v>1699.5</v>
      </c>
      <c r="J3401" s="70">
        <v>0.99264705882352933</v>
      </c>
    </row>
    <row r="3402" spans="9:10" x14ac:dyDescent="0.3">
      <c r="I3402" s="72">
        <v>1700</v>
      </c>
      <c r="J3402" s="70">
        <v>0.99264705882352933</v>
      </c>
    </row>
    <row r="3403" spans="9:10" x14ac:dyDescent="0.3">
      <c r="I3403" s="72">
        <v>1700.5</v>
      </c>
      <c r="J3403" s="70">
        <v>0.99264705882352933</v>
      </c>
    </row>
    <row r="3404" spans="9:10" x14ac:dyDescent="0.3">
      <c r="I3404" s="72">
        <v>1701</v>
      </c>
      <c r="J3404" s="70">
        <v>0.99264705882352933</v>
      </c>
    </row>
    <row r="3405" spans="9:10" x14ac:dyDescent="0.3">
      <c r="I3405" s="72">
        <v>1701.5</v>
      </c>
      <c r="J3405" s="70">
        <v>0.99264705882352933</v>
      </c>
    </row>
    <row r="3406" spans="9:10" x14ac:dyDescent="0.3">
      <c r="I3406" s="72">
        <v>1702</v>
      </c>
      <c r="J3406" s="70">
        <v>0.99264705882352933</v>
      </c>
    </row>
    <row r="3407" spans="9:10" x14ac:dyDescent="0.3">
      <c r="I3407" s="72">
        <v>1702.5</v>
      </c>
      <c r="J3407" s="70">
        <v>0.99264705882352933</v>
      </c>
    </row>
    <row r="3408" spans="9:10" x14ac:dyDescent="0.3">
      <c r="I3408" s="72">
        <v>1703</v>
      </c>
      <c r="J3408" s="70">
        <v>0.99264705882352933</v>
      </c>
    </row>
    <row r="3409" spans="9:10" x14ac:dyDescent="0.3">
      <c r="I3409" s="72">
        <v>1703.5</v>
      </c>
      <c r="J3409" s="70">
        <v>0.99264705882352933</v>
      </c>
    </row>
    <row r="3410" spans="9:10" x14ac:dyDescent="0.3">
      <c r="I3410" s="72">
        <v>1704</v>
      </c>
      <c r="J3410" s="70">
        <v>0.99264705882352933</v>
      </c>
    </row>
    <row r="3411" spans="9:10" x14ac:dyDescent="0.3">
      <c r="I3411" s="72">
        <v>1704.5</v>
      </c>
      <c r="J3411" s="70">
        <v>0.99264705882352933</v>
      </c>
    </row>
    <row r="3412" spans="9:10" x14ac:dyDescent="0.3">
      <c r="I3412" s="72">
        <v>1705</v>
      </c>
      <c r="J3412" s="70">
        <v>0.99264705882352933</v>
      </c>
    </row>
    <row r="3413" spans="9:10" x14ac:dyDescent="0.3">
      <c r="I3413" s="72">
        <v>1705.5</v>
      </c>
      <c r="J3413" s="70">
        <v>0.99264705882352933</v>
      </c>
    </row>
    <row r="3414" spans="9:10" x14ac:dyDescent="0.3">
      <c r="I3414" s="72">
        <v>1706</v>
      </c>
      <c r="J3414" s="70">
        <v>0.99264705882352933</v>
      </c>
    </row>
    <row r="3415" spans="9:10" x14ac:dyDescent="0.3">
      <c r="I3415" s="72">
        <v>1706.5</v>
      </c>
      <c r="J3415" s="70">
        <v>0.99264705882352933</v>
      </c>
    </row>
    <row r="3416" spans="9:10" x14ac:dyDescent="0.3">
      <c r="I3416" s="72">
        <v>1707</v>
      </c>
      <c r="J3416" s="70">
        <v>0.99264705882352933</v>
      </c>
    </row>
    <row r="3417" spans="9:10" x14ac:dyDescent="0.3">
      <c r="I3417" s="72">
        <v>1707.5</v>
      </c>
      <c r="J3417" s="70">
        <v>0.99264705882352933</v>
      </c>
    </row>
    <row r="3418" spans="9:10" x14ac:dyDescent="0.3">
      <c r="I3418" s="72">
        <v>1708</v>
      </c>
      <c r="J3418" s="70">
        <v>0.99264705882352933</v>
      </c>
    </row>
    <row r="3419" spans="9:10" x14ac:dyDescent="0.3">
      <c r="I3419" s="72">
        <v>1708.5</v>
      </c>
      <c r="J3419" s="70">
        <v>0.99264705882352933</v>
      </c>
    </row>
    <row r="3420" spans="9:10" x14ac:dyDescent="0.3">
      <c r="I3420" s="72">
        <v>1709</v>
      </c>
      <c r="J3420" s="70">
        <v>0.99264705882352933</v>
      </c>
    </row>
    <row r="3421" spans="9:10" x14ac:dyDescent="0.3">
      <c r="I3421" s="72">
        <v>1709.5</v>
      </c>
      <c r="J3421" s="70">
        <v>0.99264705882352933</v>
      </c>
    </row>
    <row r="3422" spans="9:10" x14ac:dyDescent="0.3">
      <c r="I3422" s="72">
        <v>1710</v>
      </c>
      <c r="J3422" s="70">
        <v>0.99264705882352933</v>
      </c>
    </row>
    <row r="3423" spans="9:10" x14ac:dyDescent="0.3">
      <c r="I3423" s="72">
        <v>1710.5</v>
      </c>
      <c r="J3423" s="70">
        <v>0.99264705882352933</v>
      </c>
    </row>
    <row r="3424" spans="9:10" x14ac:dyDescent="0.3">
      <c r="I3424" s="72">
        <v>1711</v>
      </c>
      <c r="J3424" s="70">
        <v>0.99264705882352933</v>
      </c>
    </row>
    <row r="3425" spans="9:10" x14ac:dyDescent="0.3">
      <c r="I3425" s="72">
        <v>1711.5</v>
      </c>
      <c r="J3425" s="70">
        <v>0.99264705882352933</v>
      </c>
    </row>
    <row r="3426" spans="9:10" x14ac:dyDescent="0.3">
      <c r="I3426" s="72">
        <v>1712</v>
      </c>
      <c r="J3426" s="70">
        <v>0.99264705882352933</v>
      </c>
    </row>
    <row r="3427" spans="9:10" x14ac:dyDescent="0.3">
      <c r="I3427" s="72">
        <v>1712.5</v>
      </c>
      <c r="J3427" s="70">
        <v>0.99264705882352933</v>
      </c>
    </row>
    <row r="3428" spans="9:10" x14ac:dyDescent="0.3">
      <c r="I3428" s="72">
        <v>1713</v>
      </c>
      <c r="J3428" s="70">
        <v>0.99264705882352933</v>
      </c>
    </row>
    <row r="3429" spans="9:10" x14ac:dyDescent="0.3">
      <c r="I3429" s="72">
        <v>1713.5</v>
      </c>
      <c r="J3429" s="70">
        <v>0.99264705882352933</v>
      </c>
    </row>
    <row r="3430" spans="9:10" x14ac:dyDescent="0.3">
      <c r="I3430" s="72">
        <v>1714</v>
      </c>
      <c r="J3430" s="70">
        <v>0.99264705882352933</v>
      </c>
    </row>
    <row r="3431" spans="9:10" x14ac:dyDescent="0.3">
      <c r="I3431" s="72">
        <v>1714.5</v>
      </c>
      <c r="J3431" s="70">
        <v>0.99264705882352933</v>
      </c>
    </row>
    <row r="3432" spans="9:10" x14ac:dyDescent="0.3">
      <c r="I3432" s="72">
        <v>1715</v>
      </c>
      <c r="J3432" s="70">
        <v>0.99264705882352933</v>
      </c>
    </row>
    <row r="3433" spans="9:10" x14ac:dyDescent="0.3">
      <c r="I3433" s="72">
        <v>1715.5</v>
      </c>
      <c r="J3433" s="70">
        <v>0.99264705882352933</v>
      </c>
    </row>
    <row r="3434" spans="9:10" x14ac:dyDescent="0.3">
      <c r="I3434" s="72">
        <v>1716</v>
      </c>
      <c r="J3434" s="70">
        <v>0.99264705882352933</v>
      </c>
    </row>
    <row r="3435" spans="9:10" x14ac:dyDescent="0.3">
      <c r="I3435" s="72">
        <v>1716.5</v>
      </c>
      <c r="J3435" s="70">
        <v>0.99264705882352933</v>
      </c>
    </row>
    <row r="3436" spans="9:10" x14ac:dyDescent="0.3">
      <c r="I3436" s="72">
        <v>1717</v>
      </c>
      <c r="J3436" s="70">
        <v>0.99264705882352933</v>
      </c>
    </row>
    <row r="3437" spans="9:10" x14ac:dyDescent="0.3">
      <c r="I3437" s="72">
        <v>1717.5</v>
      </c>
      <c r="J3437" s="70">
        <v>0.99264705882352933</v>
      </c>
    </row>
    <row r="3438" spans="9:10" x14ac:dyDescent="0.3">
      <c r="I3438" s="72">
        <v>1718</v>
      </c>
      <c r="J3438" s="70">
        <v>0.99264705882352933</v>
      </c>
    </row>
    <row r="3439" spans="9:10" x14ac:dyDescent="0.3">
      <c r="I3439" s="72">
        <v>1718.5</v>
      </c>
      <c r="J3439" s="70">
        <v>0.99264705882352933</v>
      </c>
    </row>
    <row r="3440" spans="9:10" x14ac:dyDescent="0.3">
      <c r="I3440" s="72">
        <v>1719</v>
      </c>
      <c r="J3440" s="70">
        <v>0.99264705882352933</v>
      </c>
    </row>
    <row r="3441" spans="9:10" x14ac:dyDescent="0.3">
      <c r="I3441" s="72">
        <v>1719.5</v>
      </c>
      <c r="J3441" s="70">
        <v>0.99264705882352933</v>
      </c>
    </row>
    <row r="3442" spans="9:10" x14ac:dyDescent="0.3">
      <c r="I3442" s="72">
        <v>1720</v>
      </c>
      <c r="J3442" s="70">
        <v>0.99264705882352933</v>
      </c>
    </row>
    <row r="3443" spans="9:10" x14ac:dyDescent="0.3">
      <c r="I3443" s="72">
        <v>1720.5</v>
      </c>
      <c r="J3443" s="70">
        <v>0.99264705882352933</v>
      </c>
    </row>
    <row r="3444" spans="9:10" x14ac:dyDescent="0.3">
      <c r="I3444" s="72">
        <v>1721</v>
      </c>
      <c r="J3444" s="70">
        <v>0.99264705882352933</v>
      </c>
    </row>
    <row r="3445" spans="9:10" x14ac:dyDescent="0.3">
      <c r="I3445" s="72">
        <v>1721.5</v>
      </c>
      <c r="J3445" s="70">
        <v>0.99264705882352933</v>
      </c>
    </row>
    <row r="3446" spans="9:10" x14ac:dyDescent="0.3">
      <c r="I3446" s="72">
        <v>1722</v>
      </c>
      <c r="J3446" s="70">
        <v>0.99264705882352933</v>
      </c>
    </row>
    <row r="3447" spans="9:10" x14ac:dyDescent="0.3">
      <c r="I3447" s="72">
        <v>1722.5</v>
      </c>
      <c r="J3447" s="70">
        <v>0.99264705882352933</v>
      </c>
    </row>
    <row r="3448" spans="9:10" x14ac:dyDescent="0.3">
      <c r="I3448" s="72">
        <v>1723</v>
      </c>
      <c r="J3448" s="70">
        <v>0.99264705882352933</v>
      </c>
    </row>
    <row r="3449" spans="9:10" x14ac:dyDescent="0.3">
      <c r="I3449" s="72">
        <v>1723.5</v>
      </c>
      <c r="J3449" s="70">
        <v>0.99264705882352933</v>
      </c>
    </row>
    <row r="3450" spans="9:10" x14ac:dyDescent="0.3">
      <c r="I3450" s="72">
        <v>1724</v>
      </c>
      <c r="J3450" s="70">
        <v>0.99264705882352933</v>
      </c>
    </row>
    <row r="3451" spans="9:10" x14ac:dyDescent="0.3">
      <c r="I3451" s="72">
        <v>1724.5</v>
      </c>
      <c r="J3451" s="70">
        <v>0.99264705882352933</v>
      </c>
    </row>
    <row r="3452" spans="9:10" x14ac:dyDescent="0.3">
      <c r="I3452" s="72">
        <v>1725</v>
      </c>
      <c r="J3452" s="70">
        <v>0.99264705882352933</v>
      </c>
    </row>
    <row r="3453" spans="9:10" x14ac:dyDescent="0.3">
      <c r="I3453" s="72">
        <v>1725.5</v>
      </c>
      <c r="J3453" s="70">
        <v>0.99264705882352933</v>
      </c>
    </row>
    <row r="3454" spans="9:10" x14ac:dyDescent="0.3">
      <c r="I3454" s="72">
        <v>1726</v>
      </c>
      <c r="J3454" s="70">
        <v>0.99264705882352933</v>
      </c>
    </row>
    <row r="3455" spans="9:10" x14ac:dyDescent="0.3">
      <c r="I3455" s="72">
        <v>1726.5</v>
      </c>
      <c r="J3455" s="70">
        <v>0.99264705882352933</v>
      </c>
    </row>
    <row r="3456" spans="9:10" x14ac:dyDescent="0.3">
      <c r="I3456" s="72">
        <v>1727</v>
      </c>
      <c r="J3456" s="70">
        <v>0.99264705882352933</v>
      </c>
    </row>
    <row r="3457" spans="9:10" x14ac:dyDescent="0.3">
      <c r="I3457" s="72">
        <v>1727.5</v>
      </c>
      <c r="J3457" s="70">
        <v>0.99264705882352933</v>
      </c>
    </row>
    <row r="3458" spans="9:10" x14ac:dyDescent="0.3">
      <c r="I3458" s="72">
        <v>1728</v>
      </c>
      <c r="J3458" s="70">
        <v>0.99264705882352933</v>
      </c>
    </row>
    <row r="3459" spans="9:10" x14ac:dyDescent="0.3">
      <c r="I3459" s="72">
        <v>1728.5</v>
      </c>
      <c r="J3459" s="70">
        <v>0.99264705882352933</v>
      </c>
    </row>
    <row r="3460" spans="9:10" x14ac:dyDescent="0.3">
      <c r="I3460" s="72">
        <v>1729</v>
      </c>
      <c r="J3460" s="70">
        <v>0.99264705882352933</v>
      </c>
    </row>
    <row r="3461" spans="9:10" x14ac:dyDescent="0.3">
      <c r="I3461" s="72">
        <v>1729.5</v>
      </c>
      <c r="J3461" s="70">
        <v>0.99264705882352933</v>
      </c>
    </row>
    <row r="3462" spans="9:10" x14ac:dyDescent="0.3">
      <c r="I3462" s="72">
        <v>1730</v>
      </c>
      <c r="J3462" s="70">
        <v>0.99264705882352933</v>
      </c>
    </row>
    <row r="3463" spans="9:10" x14ac:dyDescent="0.3">
      <c r="I3463" s="72">
        <v>1730.5</v>
      </c>
      <c r="J3463" s="70">
        <v>0.99264705882352933</v>
      </c>
    </row>
    <row r="3464" spans="9:10" x14ac:dyDescent="0.3">
      <c r="I3464" s="72">
        <v>1731</v>
      </c>
      <c r="J3464" s="70">
        <v>0.99264705882352933</v>
      </c>
    </row>
    <row r="3465" spans="9:10" x14ac:dyDescent="0.3">
      <c r="I3465" s="72">
        <v>1731.5</v>
      </c>
      <c r="J3465" s="70">
        <v>0.99264705882352933</v>
      </c>
    </row>
    <row r="3466" spans="9:10" x14ac:dyDescent="0.3">
      <c r="I3466" s="72">
        <v>1732</v>
      </c>
      <c r="J3466" s="70">
        <v>0.99264705882352933</v>
      </c>
    </row>
    <row r="3467" spans="9:10" x14ac:dyDescent="0.3">
      <c r="I3467" s="72">
        <v>1732.5</v>
      </c>
      <c r="J3467" s="70">
        <v>0.99264705882352933</v>
      </c>
    </row>
    <row r="3468" spans="9:10" x14ac:dyDescent="0.3">
      <c r="I3468" s="72">
        <v>1733</v>
      </c>
      <c r="J3468" s="70">
        <v>0.99264705882352933</v>
      </c>
    </row>
    <row r="3469" spans="9:10" x14ac:dyDescent="0.3">
      <c r="I3469" s="72">
        <v>1733.5</v>
      </c>
      <c r="J3469" s="70">
        <v>0.99264705882352933</v>
      </c>
    </row>
    <row r="3470" spans="9:10" x14ac:dyDescent="0.3">
      <c r="I3470" s="72">
        <v>1734</v>
      </c>
      <c r="J3470" s="70">
        <v>0.99264705882352933</v>
      </c>
    </row>
    <row r="3471" spans="9:10" x14ac:dyDescent="0.3">
      <c r="I3471" s="72">
        <v>1734.5</v>
      </c>
      <c r="J3471" s="70">
        <v>0.99264705882352933</v>
      </c>
    </row>
    <row r="3472" spans="9:10" x14ac:dyDescent="0.3">
      <c r="I3472" s="72">
        <v>1735</v>
      </c>
      <c r="J3472" s="70">
        <v>0.99264705882352933</v>
      </c>
    </row>
    <row r="3473" spans="9:10" x14ac:dyDescent="0.3">
      <c r="I3473" s="72">
        <v>1735.5</v>
      </c>
      <c r="J3473" s="70">
        <v>0.99264705882352933</v>
      </c>
    </row>
    <row r="3474" spans="9:10" x14ac:dyDescent="0.3">
      <c r="I3474" s="72">
        <v>1736</v>
      </c>
      <c r="J3474" s="70">
        <v>0.99264705882352933</v>
      </c>
    </row>
    <row r="3475" spans="9:10" x14ac:dyDescent="0.3">
      <c r="I3475" s="72">
        <v>1736.5</v>
      </c>
      <c r="J3475" s="70">
        <v>0.99264705882352933</v>
      </c>
    </row>
    <row r="3476" spans="9:10" x14ac:dyDescent="0.3">
      <c r="I3476" s="72">
        <v>1737</v>
      </c>
      <c r="J3476" s="70">
        <v>0.99264705882352933</v>
      </c>
    </row>
    <row r="3477" spans="9:10" x14ac:dyDescent="0.3">
      <c r="I3477" s="72">
        <v>1737.5</v>
      </c>
      <c r="J3477" s="70">
        <v>0.99264705882352933</v>
      </c>
    </row>
    <row r="3478" spans="9:10" x14ac:dyDescent="0.3">
      <c r="I3478" s="72">
        <v>1738</v>
      </c>
      <c r="J3478" s="70">
        <v>0.99264705882352933</v>
      </c>
    </row>
    <row r="3479" spans="9:10" x14ac:dyDescent="0.3">
      <c r="I3479" s="72">
        <v>1738.5</v>
      </c>
      <c r="J3479" s="70">
        <v>0.99264705882352933</v>
      </c>
    </row>
    <row r="3480" spans="9:10" x14ac:dyDescent="0.3">
      <c r="I3480" s="72">
        <v>1739</v>
      </c>
      <c r="J3480" s="70">
        <v>0.99264705882352933</v>
      </c>
    </row>
    <row r="3481" spans="9:10" x14ac:dyDescent="0.3">
      <c r="I3481" s="72">
        <v>1739.5</v>
      </c>
      <c r="J3481" s="70">
        <v>0.99264705882352933</v>
      </c>
    </row>
    <row r="3482" spans="9:10" x14ac:dyDescent="0.3">
      <c r="I3482" s="72">
        <v>1740</v>
      </c>
      <c r="J3482" s="70">
        <v>0.99264705882352933</v>
      </c>
    </row>
    <row r="3483" spans="9:10" x14ac:dyDescent="0.3">
      <c r="I3483" s="72">
        <v>1740.5</v>
      </c>
      <c r="J3483" s="70">
        <v>0.99264705882352933</v>
      </c>
    </row>
    <row r="3484" spans="9:10" x14ac:dyDescent="0.3">
      <c r="I3484" s="72">
        <v>1741</v>
      </c>
      <c r="J3484" s="70">
        <v>0.99264705882352933</v>
      </c>
    </row>
    <row r="3485" spans="9:10" x14ac:dyDescent="0.3">
      <c r="I3485" s="72">
        <v>1741.5</v>
      </c>
      <c r="J3485" s="70">
        <v>0.99264705882352933</v>
      </c>
    </row>
    <row r="3486" spans="9:10" x14ac:dyDescent="0.3">
      <c r="I3486" s="72">
        <v>1742</v>
      </c>
      <c r="J3486" s="70">
        <v>0.99264705882352933</v>
      </c>
    </row>
    <row r="3487" spans="9:10" x14ac:dyDescent="0.3">
      <c r="I3487" s="72">
        <v>1742.5</v>
      </c>
      <c r="J3487" s="70">
        <v>0.99264705882352933</v>
      </c>
    </row>
    <row r="3488" spans="9:10" x14ac:dyDescent="0.3">
      <c r="I3488" s="72">
        <v>1743</v>
      </c>
      <c r="J3488" s="70">
        <v>0.99264705882352933</v>
      </c>
    </row>
    <row r="3489" spans="9:10" x14ac:dyDescent="0.3">
      <c r="I3489" s="72">
        <v>1743.5</v>
      </c>
      <c r="J3489" s="70">
        <v>0.99264705882352933</v>
      </c>
    </row>
    <row r="3490" spans="9:10" x14ac:dyDescent="0.3">
      <c r="I3490" s="72">
        <v>1744</v>
      </c>
      <c r="J3490" s="70">
        <v>0.99264705882352933</v>
      </c>
    </row>
    <row r="3491" spans="9:10" x14ac:dyDescent="0.3">
      <c r="I3491" s="72">
        <v>1744.5</v>
      </c>
      <c r="J3491" s="70">
        <v>0.99264705882352933</v>
      </c>
    </row>
    <row r="3492" spans="9:10" x14ac:dyDescent="0.3">
      <c r="I3492" s="72">
        <v>1745</v>
      </c>
      <c r="J3492" s="70">
        <v>0.99264705882352933</v>
      </c>
    </row>
    <row r="3493" spans="9:10" x14ac:dyDescent="0.3">
      <c r="I3493" s="72">
        <v>1745.5</v>
      </c>
      <c r="J3493" s="70">
        <v>0.99264705882352933</v>
      </c>
    </row>
    <row r="3494" spans="9:10" x14ac:dyDescent="0.3">
      <c r="I3494" s="72">
        <v>1746</v>
      </c>
      <c r="J3494" s="70">
        <v>0.99264705882352933</v>
      </c>
    </row>
    <row r="3495" spans="9:10" x14ac:dyDescent="0.3">
      <c r="I3495" s="72">
        <v>1746.5</v>
      </c>
      <c r="J3495" s="70">
        <v>0.99264705882352933</v>
      </c>
    </row>
    <row r="3496" spans="9:10" x14ac:dyDescent="0.3">
      <c r="I3496" s="72">
        <v>1747</v>
      </c>
      <c r="J3496" s="70">
        <v>0.99264705882352933</v>
      </c>
    </row>
    <row r="3497" spans="9:10" x14ac:dyDescent="0.3">
      <c r="I3497" s="72">
        <v>1747.5</v>
      </c>
      <c r="J3497" s="70">
        <v>0.99264705882352933</v>
      </c>
    </row>
    <row r="3498" spans="9:10" x14ac:dyDescent="0.3">
      <c r="I3498" s="72">
        <v>1748</v>
      </c>
      <c r="J3498" s="70">
        <v>0.99264705882352933</v>
      </c>
    </row>
    <row r="3499" spans="9:10" x14ac:dyDescent="0.3">
      <c r="I3499" s="72">
        <v>1748.5</v>
      </c>
      <c r="J3499" s="70">
        <v>0.99264705882352933</v>
      </c>
    </row>
    <row r="3500" spans="9:10" x14ac:dyDescent="0.3">
      <c r="I3500" s="72">
        <v>1749</v>
      </c>
      <c r="J3500" s="70">
        <v>0.99264705882352933</v>
      </c>
    </row>
    <row r="3501" spans="9:10" x14ac:dyDescent="0.3">
      <c r="I3501" s="72">
        <v>1749.5</v>
      </c>
      <c r="J3501" s="70">
        <v>0.99264705882352933</v>
      </c>
    </row>
    <row r="3502" spans="9:10" x14ac:dyDescent="0.3">
      <c r="I3502" s="72">
        <v>1750</v>
      </c>
      <c r="J3502" s="70">
        <v>0.99264705882352933</v>
      </c>
    </row>
    <row r="3503" spans="9:10" x14ac:dyDescent="0.3">
      <c r="I3503" s="72">
        <v>1750.5</v>
      </c>
      <c r="J3503" s="70">
        <v>0.99264705882352933</v>
      </c>
    </row>
    <row r="3504" spans="9:10" x14ac:dyDescent="0.3">
      <c r="I3504" s="72">
        <v>1751</v>
      </c>
      <c r="J3504" s="70">
        <v>0.99264705882352933</v>
      </c>
    </row>
    <row r="3505" spans="9:10" x14ac:dyDescent="0.3">
      <c r="I3505" s="72">
        <v>1751.5</v>
      </c>
      <c r="J3505" s="70">
        <v>0.99264705882352933</v>
      </c>
    </row>
    <row r="3506" spans="9:10" x14ac:dyDescent="0.3">
      <c r="I3506" s="72">
        <v>1752</v>
      </c>
      <c r="J3506" s="70">
        <v>0.99264705882352933</v>
      </c>
    </row>
    <row r="3507" spans="9:10" x14ac:dyDescent="0.3">
      <c r="I3507" s="72">
        <v>1752.5</v>
      </c>
      <c r="J3507" s="70">
        <v>0.99264705882352933</v>
      </c>
    </row>
    <row r="3508" spans="9:10" x14ac:dyDescent="0.3">
      <c r="I3508" s="72">
        <v>1753</v>
      </c>
      <c r="J3508" s="70">
        <v>0.99264705882352933</v>
      </c>
    </row>
    <row r="3509" spans="9:10" x14ac:dyDescent="0.3">
      <c r="I3509" s="72">
        <v>1753.5</v>
      </c>
      <c r="J3509" s="70">
        <v>0.99264705882352933</v>
      </c>
    </row>
    <row r="3510" spans="9:10" x14ac:dyDescent="0.3">
      <c r="I3510" s="72">
        <v>1754</v>
      </c>
      <c r="J3510" s="70">
        <v>0.99264705882352933</v>
      </c>
    </row>
    <row r="3511" spans="9:10" x14ac:dyDescent="0.3">
      <c r="I3511" s="72">
        <v>1754.5</v>
      </c>
      <c r="J3511" s="70">
        <v>0.99264705882352933</v>
      </c>
    </row>
    <row r="3512" spans="9:10" x14ac:dyDescent="0.3">
      <c r="I3512" s="72">
        <v>1755</v>
      </c>
      <c r="J3512" s="70">
        <v>0.99264705882352933</v>
      </c>
    </row>
    <row r="3513" spans="9:10" x14ac:dyDescent="0.3">
      <c r="I3513" s="72">
        <v>1755.5</v>
      </c>
      <c r="J3513" s="70">
        <v>0.99264705882352933</v>
      </c>
    </row>
    <row r="3514" spans="9:10" x14ac:dyDescent="0.3">
      <c r="I3514" s="72">
        <v>1756</v>
      </c>
      <c r="J3514" s="70">
        <v>0.99264705882352933</v>
      </c>
    </row>
    <row r="3515" spans="9:10" x14ac:dyDescent="0.3">
      <c r="I3515" s="72">
        <v>1756.5</v>
      </c>
      <c r="J3515" s="70">
        <v>0.99264705882352933</v>
      </c>
    </row>
    <row r="3516" spans="9:10" x14ac:dyDescent="0.3">
      <c r="I3516" s="72">
        <v>1757</v>
      </c>
      <c r="J3516" s="70">
        <v>0.99264705882352933</v>
      </c>
    </row>
    <row r="3517" spans="9:10" x14ac:dyDescent="0.3">
      <c r="I3517" s="72">
        <v>1757.5</v>
      </c>
      <c r="J3517" s="70">
        <v>0.99264705882352933</v>
      </c>
    </row>
    <row r="3518" spans="9:10" x14ac:dyDescent="0.3">
      <c r="I3518" s="72">
        <v>1758</v>
      </c>
      <c r="J3518" s="70">
        <v>0.99264705882352933</v>
      </c>
    </row>
    <row r="3519" spans="9:10" x14ac:dyDescent="0.3">
      <c r="I3519" s="72">
        <v>1758.5</v>
      </c>
      <c r="J3519" s="70">
        <v>0.99448529411764697</v>
      </c>
    </row>
    <row r="3520" spans="9:10" x14ac:dyDescent="0.3">
      <c r="I3520" s="72">
        <v>1759</v>
      </c>
      <c r="J3520" s="70">
        <v>0.99448529411764697</v>
      </c>
    </row>
    <row r="3521" spans="9:10" x14ac:dyDescent="0.3">
      <c r="I3521" s="72">
        <v>1759.5</v>
      </c>
      <c r="J3521" s="70">
        <v>0.99448529411764697</v>
      </c>
    </row>
    <row r="3522" spans="9:10" x14ac:dyDescent="0.3">
      <c r="I3522" s="72">
        <v>1760</v>
      </c>
      <c r="J3522" s="70">
        <v>0.99448529411764697</v>
      </c>
    </row>
    <row r="3523" spans="9:10" x14ac:dyDescent="0.3">
      <c r="I3523" s="72">
        <v>1760.5</v>
      </c>
      <c r="J3523" s="70">
        <v>0.99448529411764697</v>
      </c>
    </row>
    <row r="3524" spans="9:10" x14ac:dyDescent="0.3">
      <c r="I3524" s="72">
        <v>1761</v>
      </c>
      <c r="J3524" s="70">
        <v>0.99448529411764697</v>
      </c>
    </row>
    <row r="3525" spans="9:10" x14ac:dyDescent="0.3">
      <c r="I3525" s="72">
        <v>1761.5</v>
      </c>
      <c r="J3525" s="70">
        <v>0.99448529411764697</v>
      </c>
    </row>
    <row r="3526" spans="9:10" x14ac:dyDescent="0.3">
      <c r="I3526" s="72">
        <v>1762</v>
      </c>
      <c r="J3526" s="70">
        <v>0.99448529411764697</v>
      </c>
    </row>
    <row r="3527" spans="9:10" x14ac:dyDescent="0.3">
      <c r="I3527" s="72">
        <v>1762.5</v>
      </c>
      <c r="J3527" s="70">
        <v>0.99448529411764697</v>
      </c>
    </row>
    <row r="3528" spans="9:10" x14ac:dyDescent="0.3">
      <c r="I3528" s="72">
        <v>1763</v>
      </c>
      <c r="J3528" s="70">
        <v>0.99448529411764697</v>
      </c>
    </row>
    <row r="3529" spans="9:10" x14ac:dyDescent="0.3">
      <c r="I3529" s="72">
        <v>1763.5</v>
      </c>
      <c r="J3529" s="70">
        <v>0.99448529411764697</v>
      </c>
    </row>
    <row r="3530" spans="9:10" x14ac:dyDescent="0.3">
      <c r="I3530" s="72">
        <v>1764</v>
      </c>
      <c r="J3530" s="70">
        <v>0.99448529411764697</v>
      </c>
    </row>
    <row r="3531" spans="9:10" x14ac:dyDescent="0.3">
      <c r="I3531" s="72">
        <v>1764.5</v>
      </c>
      <c r="J3531" s="70">
        <v>0.99448529411764697</v>
      </c>
    </row>
    <row r="3532" spans="9:10" x14ac:dyDescent="0.3">
      <c r="I3532" s="72">
        <v>1765</v>
      </c>
      <c r="J3532" s="70">
        <v>0.99448529411764697</v>
      </c>
    </row>
    <row r="3533" spans="9:10" x14ac:dyDescent="0.3">
      <c r="I3533" s="72">
        <v>1765.5</v>
      </c>
      <c r="J3533" s="70">
        <v>0.99448529411764697</v>
      </c>
    </row>
    <row r="3534" spans="9:10" x14ac:dyDescent="0.3">
      <c r="I3534" s="72">
        <v>1766</v>
      </c>
      <c r="J3534" s="70">
        <v>0.99448529411764697</v>
      </c>
    </row>
    <row r="3535" spans="9:10" x14ac:dyDescent="0.3">
      <c r="I3535" s="72">
        <v>1766.5</v>
      </c>
      <c r="J3535" s="70">
        <v>0.99448529411764697</v>
      </c>
    </row>
    <row r="3536" spans="9:10" x14ac:dyDescent="0.3">
      <c r="I3536" s="72">
        <v>1767</v>
      </c>
      <c r="J3536" s="70">
        <v>0.99448529411764697</v>
      </c>
    </row>
    <row r="3537" spans="9:10" x14ac:dyDescent="0.3">
      <c r="I3537" s="72">
        <v>1767.5</v>
      </c>
      <c r="J3537" s="70">
        <v>0.99448529411764697</v>
      </c>
    </row>
    <row r="3538" spans="9:10" x14ac:dyDescent="0.3">
      <c r="I3538" s="72">
        <v>1768</v>
      </c>
      <c r="J3538" s="70">
        <v>0.99448529411764697</v>
      </c>
    </row>
    <row r="3539" spans="9:10" x14ac:dyDescent="0.3">
      <c r="I3539" s="72">
        <v>1768.5</v>
      </c>
      <c r="J3539" s="70">
        <v>0.99448529411764697</v>
      </c>
    </row>
    <row r="3540" spans="9:10" x14ac:dyDescent="0.3">
      <c r="I3540" s="72">
        <v>1769</v>
      </c>
      <c r="J3540" s="70">
        <v>0.99448529411764697</v>
      </c>
    </row>
    <row r="3541" spans="9:10" x14ac:dyDescent="0.3">
      <c r="I3541" s="72">
        <v>1769.5</v>
      </c>
      <c r="J3541" s="70">
        <v>0.99448529411764697</v>
      </c>
    </row>
    <row r="3542" spans="9:10" x14ac:dyDescent="0.3">
      <c r="I3542" s="72">
        <v>1770</v>
      </c>
      <c r="J3542" s="70">
        <v>0.99448529411764697</v>
      </c>
    </row>
    <row r="3543" spans="9:10" x14ac:dyDescent="0.3">
      <c r="I3543" s="72">
        <v>1770.5</v>
      </c>
      <c r="J3543" s="70">
        <v>0.99448529411764697</v>
      </c>
    </row>
    <row r="3544" spans="9:10" x14ac:dyDescent="0.3">
      <c r="I3544" s="72">
        <v>1771</v>
      </c>
      <c r="J3544" s="70">
        <v>0.99448529411764697</v>
      </c>
    </row>
    <row r="3545" spans="9:10" x14ac:dyDescent="0.3">
      <c r="I3545" s="72">
        <v>1771.5</v>
      </c>
      <c r="J3545" s="70">
        <v>0.99448529411764697</v>
      </c>
    </row>
    <row r="3546" spans="9:10" x14ac:dyDescent="0.3">
      <c r="I3546" s="72">
        <v>1772</v>
      </c>
      <c r="J3546" s="70">
        <v>0.99448529411764697</v>
      </c>
    </row>
    <row r="3547" spans="9:10" x14ac:dyDescent="0.3">
      <c r="I3547" s="72">
        <v>1772.5</v>
      </c>
      <c r="J3547" s="70">
        <v>0.99448529411764697</v>
      </c>
    </row>
    <row r="3548" spans="9:10" x14ac:dyDescent="0.3">
      <c r="I3548" s="72">
        <v>1773</v>
      </c>
      <c r="J3548" s="70">
        <v>0.99448529411764697</v>
      </c>
    </row>
    <row r="3549" spans="9:10" x14ac:dyDescent="0.3">
      <c r="I3549" s="72">
        <v>1773.5</v>
      </c>
      <c r="J3549" s="70">
        <v>0.99448529411764697</v>
      </c>
    </row>
    <row r="3550" spans="9:10" x14ac:dyDescent="0.3">
      <c r="I3550" s="72">
        <v>1774</v>
      </c>
      <c r="J3550" s="70">
        <v>0.99448529411764697</v>
      </c>
    </row>
    <row r="3551" spans="9:10" x14ac:dyDescent="0.3">
      <c r="I3551" s="72">
        <v>1774.5</v>
      </c>
      <c r="J3551" s="70">
        <v>0.99448529411764697</v>
      </c>
    </row>
    <row r="3552" spans="9:10" x14ac:dyDescent="0.3">
      <c r="I3552" s="72">
        <v>1775</v>
      </c>
      <c r="J3552" s="70">
        <v>0.99448529411764697</v>
      </c>
    </row>
    <row r="3553" spans="9:10" x14ac:dyDescent="0.3">
      <c r="I3553" s="72">
        <v>1775.5</v>
      </c>
      <c r="J3553" s="70">
        <v>0.99448529411764697</v>
      </c>
    </row>
    <row r="3554" spans="9:10" x14ac:dyDescent="0.3">
      <c r="I3554" s="72">
        <v>1776</v>
      </c>
      <c r="J3554" s="70">
        <v>0.99448529411764697</v>
      </c>
    </row>
    <row r="3555" spans="9:10" x14ac:dyDescent="0.3">
      <c r="I3555" s="72">
        <v>1776.5</v>
      </c>
      <c r="J3555" s="70">
        <v>0.99448529411764697</v>
      </c>
    </row>
    <row r="3556" spans="9:10" x14ac:dyDescent="0.3">
      <c r="I3556" s="72">
        <v>1777</v>
      </c>
      <c r="J3556" s="70">
        <v>0.99448529411764697</v>
      </c>
    </row>
    <row r="3557" spans="9:10" x14ac:dyDescent="0.3">
      <c r="I3557" s="72">
        <v>1777.5</v>
      </c>
      <c r="J3557" s="70">
        <v>0.99448529411764697</v>
      </c>
    </row>
    <row r="3558" spans="9:10" x14ac:dyDescent="0.3">
      <c r="I3558" s="72">
        <v>1778</v>
      </c>
      <c r="J3558" s="70">
        <v>0.99448529411764697</v>
      </c>
    </row>
    <row r="3559" spans="9:10" x14ac:dyDescent="0.3">
      <c r="I3559" s="72">
        <v>1778.5</v>
      </c>
      <c r="J3559" s="70">
        <v>0.99448529411764697</v>
      </c>
    </row>
    <row r="3560" spans="9:10" x14ac:dyDescent="0.3">
      <c r="I3560" s="72">
        <v>1779</v>
      </c>
      <c r="J3560" s="70">
        <v>0.99448529411764697</v>
      </c>
    </row>
    <row r="3561" spans="9:10" x14ac:dyDescent="0.3">
      <c r="I3561" s="72">
        <v>1779.5</v>
      </c>
      <c r="J3561" s="70">
        <v>0.99448529411764697</v>
      </c>
    </row>
    <row r="3562" spans="9:10" x14ac:dyDescent="0.3">
      <c r="I3562" s="72">
        <v>1780</v>
      </c>
      <c r="J3562" s="70">
        <v>0.99448529411764697</v>
      </c>
    </row>
    <row r="3563" spans="9:10" x14ac:dyDescent="0.3">
      <c r="I3563" s="72">
        <v>1780.5</v>
      </c>
      <c r="J3563" s="70">
        <v>0.99448529411764697</v>
      </c>
    </row>
    <row r="3564" spans="9:10" x14ac:dyDescent="0.3">
      <c r="I3564" s="72">
        <v>1781</v>
      </c>
      <c r="J3564" s="70">
        <v>0.99448529411764697</v>
      </c>
    </row>
    <row r="3565" spans="9:10" x14ac:dyDescent="0.3">
      <c r="I3565" s="72">
        <v>1781.5</v>
      </c>
      <c r="J3565" s="70">
        <v>0.99448529411764697</v>
      </c>
    </row>
    <row r="3566" spans="9:10" x14ac:dyDescent="0.3">
      <c r="I3566" s="72">
        <v>1782</v>
      </c>
      <c r="J3566" s="70">
        <v>0.99448529411764697</v>
      </c>
    </row>
    <row r="3567" spans="9:10" x14ac:dyDescent="0.3">
      <c r="I3567" s="72">
        <v>1782.5</v>
      </c>
      <c r="J3567" s="70">
        <v>0.99448529411764697</v>
      </c>
    </row>
    <row r="3568" spans="9:10" x14ac:dyDescent="0.3">
      <c r="I3568" s="72">
        <v>1783</v>
      </c>
      <c r="J3568" s="70">
        <v>0.99448529411764697</v>
      </c>
    </row>
    <row r="3569" spans="9:10" x14ac:dyDescent="0.3">
      <c r="I3569" s="72">
        <v>1783.5</v>
      </c>
      <c r="J3569" s="70">
        <v>0.99448529411764697</v>
      </c>
    </row>
    <row r="3570" spans="9:10" x14ac:dyDescent="0.3">
      <c r="I3570" s="72">
        <v>1784</v>
      </c>
      <c r="J3570" s="70">
        <v>0.99448529411764697</v>
      </c>
    </row>
    <row r="3571" spans="9:10" x14ac:dyDescent="0.3">
      <c r="I3571" s="72">
        <v>1784.5</v>
      </c>
      <c r="J3571" s="70">
        <v>0.99448529411764697</v>
      </c>
    </row>
    <row r="3572" spans="9:10" x14ac:dyDescent="0.3">
      <c r="I3572" s="72">
        <v>1785</v>
      </c>
      <c r="J3572" s="70">
        <v>0.99448529411764697</v>
      </c>
    </row>
    <row r="3573" spans="9:10" x14ac:dyDescent="0.3">
      <c r="I3573" s="72">
        <v>1785.5</v>
      </c>
      <c r="J3573" s="70">
        <v>0.99448529411764697</v>
      </c>
    </row>
    <row r="3574" spans="9:10" x14ac:dyDescent="0.3">
      <c r="I3574" s="72">
        <v>1786</v>
      </c>
      <c r="J3574" s="70">
        <v>0.99448529411764697</v>
      </c>
    </row>
    <row r="3575" spans="9:10" x14ac:dyDescent="0.3">
      <c r="I3575" s="72">
        <v>1786.5</v>
      </c>
      <c r="J3575" s="70">
        <v>0.99448529411764697</v>
      </c>
    </row>
    <row r="3576" spans="9:10" x14ac:dyDescent="0.3">
      <c r="I3576" s="72">
        <v>1787</v>
      </c>
      <c r="J3576" s="70">
        <v>0.99448529411764697</v>
      </c>
    </row>
    <row r="3577" spans="9:10" x14ac:dyDescent="0.3">
      <c r="I3577" s="72">
        <v>1787.5</v>
      </c>
      <c r="J3577" s="70">
        <v>0.99448529411764697</v>
      </c>
    </row>
    <row r="3578" spans="9:10" x14ac:dyDescent="0.3">
      <c r="I3578" s="72">
        <v>1788</v>
      </c>
      <c r="J3578" s="70">
        <v>0.99448529411764697</v>
      </c>
    </row>
    <row r="3579" spans="9:10" x14ac:dyDescent="0.3">
      <c r="I3579" s="72">
        <v>1788.5</v>
      </c>
      <c r="J3579" s="70">
        <v>0.99448529411764697</v>
      </c>
    </row>
    <row r="3580" spans="9:10" x14ac:dyDescent="0.3">
      <c r="I3580" s="72">
        <v>1789</v>
      </c>
      <c r="J3580" s="70">
        <v>0.99448529411764697</v>
      </c>
    </row>
    <row r="3581" spans="9:10" x14ac:dyDescent="0.3">
      <c r="I3581" s="72">
        <v>1789.5</v>
      </c>
      <c r="J3581" s="70">
        <v>0.99448529411764697</v>
      </c>
    </row>
    <row r="3582" spans="9:10" x14ac:dyDescent="0.3">
      <c r="I3582" s="72">
        <v>1790</v>
      </c>
      <c r="J3582" s="70">
        <v>0.99448529411764697</v>
      </c>
    </row>
    <row r="3583" spans="9:10" x14ac:dyDescent="0.3">
      <c r="I3583" s="72">
        <v>1790.5</v>
      </c>
      <c r="J3583" s="70">
        <v>0.99448529411764697</v>
      </c>
    </row>
    <row r="3584" spans="9:10" x14ac:dyDescent="0.3">
      <c r="I3584" s="72">
        <v>1791</v>
      </c>
      <c r="J3584" s="70">
        <v>0.99448529411764697</v>
      </c>
    </row>
    <row r="3585" spans="9:10" x14ac:dyDescent="0.3">
      <c r="I3585" s="72">
        <v>1791.5</v>
      </c>
      <c r="J3585" s="70">
        <v>0.99448529411764697</v>
      </c>
    </row>
    <row r="3586" spans="9:10" x14ac:dyDescent="0.3">
      <c r="I3586" s="72">
        <v>1792</v>
      </c>
      <c r="J3586" s="70">
        <v>0.99448529411764697</v>
      </c>
    </row>
    <row r="3587" spans="9:10" x14ac:dyDescent="0.3">
      <c r="I3587" s="72">
        <v>1792.5</v>
      </c>
      <c r="J3587" s="70">
        <v>0.99448529411764697</v>
      </c>
    </row>
    <row r="3588" spans="9:10" x14ac:dyDescent="0.3">
      <c r="I3588" s="72">
        <v>1793</v>
      </c>
      <c r="J3588" s="70">
        <v>0.99448529411764697</v>
      </c>
    </row>
    <row r="3589" spans="9:10" x14ac:dyDescent="0.3">
      <c r="I3589" s="72">
        <v>1793.5</v>
      </c>
      <c r="J3589" s="70">
        <v>0.99448529411764697</v>
      </c>
    </row>
    <row r="3590" spans="9:10" x14ac:dyDescent="0.3">
      <c r="I3590" s="72">
        <v>1794</v>
      </c>
      <c r="J3590" s="70">
        <v>0.99448529411764697</v>
      </c>
    </row>
    <row r="3591" spans="9:10" x14ac:dyDescent="0.3">
      <c r="I3591" s="72">
        <v>1794.5</v>
      </c>
      <c r="J3591" s="70">
        <v>0.99448529411764697</v>
      </c>
    </row>
    <row r="3592" spans="9:10" x14ac:dyDescent="0.3">
      <c r="I3592" s="72">
        <v>1795</v>
      </c>
      <c r="J3592" s="70">
        <v>0.99448529411764697</v>
      </c>
    </row>
    <row r="3593" spans="9:10" x14ac:dyDescent="0.3">
      <c r="I3593" s="72">
        <v>1795.5</v>
      </c>
      <c r="J3593" s="70">
        <v>0.99448529411764697</v>
      </c>
    </row>
    <row r="3594" spans="9:10" x14ac:dyDescent="0.3">
      <c r="I3594" s="72">
        <v>1796</v>
      </c>
      <c r="J3594" s="70">
        <v>0.99448529411764697</v>
      </c>
    </row>
    <row r="3595" spans="9:10" x14ac:dyDescent="0.3">
      <c r="I3595" s="72">
        <v>1796.5</v>
      </c>
      <c r="J3595" s="70">
        <v>0.99448529411764697</v>
      </c>
    </row>
    <row r="3596" spans="9:10" x14ac:dyDescent="0.3">
      <c r="I3596" s="72">
        <v>1797</v>
      </c>
      <c r="J3596" s="70">
        <v>0.99448529411764697</v>
      </c>
    </row>
    <row r="3597" spans="9:10" x14ac:dyDescent="0.3">
      <c r="I3597" s="72">
        <v>1797.5</v>
      </c>
      <c r="J3597" s="70">
        <v>0.99448529411764697</v>
      </c>
    </row>
    <row r="3598" spans="9:10" x14ac:dyDescent="0.3">
      <c r="I3598" s="72">
        <v>1798</v>
      </c>
      <c r="J3598" s="70">
        <v>0.99448529411764697</v>
      </c>
    </row>
    <row r="3599" spans="9:10" x14ac:dyDescent="0.3">
      <c r="I3599" s="72">
        <v>1798.5</v>
      </c>
      <c r="J3599" s="70">
        <v>0.99448529411764697</v>
      </c>
    </row>
    <row r="3600" spans="9:10" x14ac:dyDescent="0.3">
      <c r="I3600" s="72">
        <v>1799</v>
      </c>
      <c r="J3600" s="70">
        <v>0.99448529411764697</v>
      </c>
    </row>
    <row r="3601" spans="9:10" x14ac:dyDescent="0.3">
      <c r="I3601" s="72">
        <v>1799.5</v>
      </c>
      <c r="J3601" s="70">
        <v>0.99448529411764697</v>
      </c>
    </row>
    <row r="3602" spans="9:10" x14ac:dyDescent="0.3">
      <c r="I3602" s="72">
        <v>1800</v>
      </c>
      <c r="J3602" s="70">
        <v>0.99448529411764697</v>
      </c>
    </row>
    <row r="3603" spans="9:10" x14ac:dyDescent="0.3">
      <c r="I3603" s="72">
        <v>1800.5</v>
      </c>
      <c r="J3603" s="70">
        <v>0.99448529411764697</v>
      </c>
    </row>
    <row r="3604" spans="9:10" x14ac:dyDescent="0.3">
      <c r="I3604" s="72">
        <v>1801</v>
      </c>
      <c r="J3604" s="70">
        <v>0.99448529411764697</v>
      </c>
    </row>
    <row r="3605" spans="9:10" x14ac:dyDescent="0.3">
      <c r="I3605" s="72">
        <v>1801.5</v>
      </c>
      <c r="J3605" s="70">
        <v>0.99448529411764697</v>
      </c>
    </row>
    <row r="3606" spans="9:10" x14ac:dyDescent="0.3">
      <c r="I3606" s="72">
        <v>1802</v>
      </c>
      <c r="J3606" s="70">
        <v>0.99448529411764697</v>
      </c>
    </row>
    <row r="3607" spans="9:10" x14ac:dyDescent="0.3">
      <c r="I3607" s="72">
        <v>1802.5</v>
      </c>
      <c r="J3607" s="70">
        <v>0.99448529411764697</v>
      </c>
    </row>
    <row r="3608" spans="9:10" x14ac:dyDescent="0.3">
      <c r="I3608" s="72">
        <v>1803</v>
      </c>
      <c r="J3608" s="70">
        <v>0.99448529411764697</v>
      </c>
    </row>
    <row r="3609" spans="9:10" x14ac:dyDescent="0.3">
      <c r="I3609" s="72">
        <v>1803.5</v>
      </c>
      <c r="J3609" s="70">
        <v>0.99448529411764697</v>
      </c>
    </row>
    <row r="3610" spans="9:10" x14ac:dyDescent="0.3">
      <c r="I3610" s="72">
        <v>1804</v>
      </c>
      <c r="J3610" s="70">
        <v>0.99448529411764697</v>
      </c>
    </row>
    <row r="3611" spans="9:10" x14ac:dyDescent="0.3">
      <c r="I3611" s="72">
        <v>1804.5</v>
      </c>
      <c r="J3611" s="70">
        <v>0.99448529411764697</v>
      </c>
    </row>
    <row r="3612" spans="9:10" x14ac:dyDescent="0.3">
      <c r="I3612" s="72">
        <v>1805</v>
      </c>
      <c r="J3612" s="70">
        <v>0.99448529411764697</v>
      </c>
    </row>
    <row r="3613" spans="9:10" x14ac:dyDescent="0.3">
      <c r="I3613" s="72">
        <v>1805.5</v>
      </c>
      <c r="J3613" s="70">
        <v>0.99448529411764697</v>
      </c>
    </row>
    <row r="3614" spans="9:10" x14ac:dyDescent="0.3">
      <c r="I3614" s="72">
        <v>1806</v>
      </c>
      <c r="J3614" s="70">
        <v>0.99448529411764697</v>
      </c>
    </row>
    <row r="3615" spans="9:10" x14ac:dyDescent="0.3">
      <c r="I3615" s="72">
        <v>1806.5</v>
      </c>
      <c r="J3615" s="70">
        <v>0.99448529411764697</v>
      </c>
    </row>
    <row r="3616" spans="9:10" x14ac:dyDescent="0.3">
      <c r="I3616" s="72">
        <v>1807</v>
      </c>
      <c r="J3616" s="70">
        <v>0.99448529411764697</v>
      </c>
    </row>
    <row r="3617" spans="9:10" x14ac:dyDescent="0.3">
      <c r="I3617" s="72">
        <v>1807.5</v>
      </c>
      <c r="J3617" s="70">
        <v>0.99448529411764697</v>
      </c>
    </row>
    <row r="3618" spans="9:10" x14ac:dyDescent="0.3">
      <c r="I3618" s="72">
        <v>1808</v>
      </c>
      <c r="J3618" s="70">
        <v>0.99448529411764697</v>
      </c>
    </row>
    <row r="3619" spans="9:10" x14ac:dyDescent="0.3">
      <c r="I3619" s="72">
        <v>1808.5</v>
      </c>
      <c r="J3619" s="70">
        <v>0.99448529411764697</v>
      </c>
    </row>
    <row r="3620" spans="9:10" x14ac:dyDescent="0.3">
      <c r="I3620" s="72">
        <v>1809</v>
      </c>
      <c r="J3620" s="70">
        <v>0.99448529411764697</v>
      </c>
    </row>
    <row r="3621" spans="9:10" x14ac:dyDescent="0.3">
      <c r="I3621" s="72">
        <v>1809.5</v>
      </c>
      <c r="J3621" s="70">
        <v>0.99448529411764697</v>
      </c>
    </row>
    <row r="3622" spans="9:10" x14ac:dyDescent="0.3">
      <c r="I3622" s="72">
        <v>1810</v>
      </c>
      <c r="J3622" s="70">
        <v>0.99448529411764697</v>
      </c>
    </row>
    <row r="3623" spans="9:10" x14ac:dyDescent="0.3">
      <c r="I3623" s="72">
        <v>1810.5</v>
      </c>
      <c r="J3623" s="70">
        <v>0.99448529411764697</v>
      </c>
    </row>
    <row r="3624" spans="9:10" x14ac:dyDescent="0.3">
      <c r="I3624" s="72">
        <v>1811</v>
      </c>
      <c r="J3624" s="70">
        <v>0.99448529411764697</v>
      </c>
    </row>
    <row r="3625" spans="9:10" x14ac:dyDescent="0.3">
      <c r="I3625" s="72">
        <v>1811.5</v>
      </c>
      <c r="J3625" s="70">
        <v>0.99448529411764697</v>
      </c>
    </row>
    <row r="3626" spans="9:10" x14ac:dyDescent="0.3">
      <c r="I3626" s="72">
        <v>1812</v>
      </c>
      <c r="J3626" s="70">
        <v>0.99448529411764697</v>
      </c>
    </row>
    <row r="3627" spans="9:10" x14ac:dyDescent="0.3">
      <c r="I3627" s="72">
        <v>1812.5</v>
      </c>
      <c r="J3627" s="70">
        <v>0.99448529411764697</v>
      </c>
    </row>
    <row r="3628" spans="9:10" x14ac:dyDescent="0.3">
      <c r="I3628" s="72">
        <v>1813</v>
      </c>
      <c r="J3628" s="70">
        <v>0.99448529411764697</v>
      </c>
    </row>
    <row r="3629" spans="9:10" x14ac:dyDescent="0.3">
      <c r="I3629" s="72">
        <v>1813.5</v>
      </c>
      <c r="J3629" s="70">
        <v>0.99448529411764697</v>
      </c>
    </row>
    <row r="3630" spans="9:10" x14ac:dyDescent="0.3">
      <c r="I3630" s="72">
        <v>1814</v>
      </c>
      <c r="J3630" s="70">
        <v>0.99448529411764697</v>
      </c>
    </row>
    <row r="3631" spans="9:10" x14ac:dyDescent="0.3">
      <c r="I3631" s="72">
        <v>1814.5</v>
      </c>
      <c r="J3631" s="70">
        <v>0.99448529411764697</v>
      </c>
    </row>
    <row r="3632" spans="9:10" x14ac:dyDescent="0.3">
      <c r="I3632" s="72">
        <v>1815</v>
      </c>
      <c r="J3632" s="70">
        <v>0.99448529411764697</v>
      </c>
    </row>
    <row r="3633" spans="9:10" x14ac:dyDescent="0.3">
      <c r="I3633" s="72">
        <v>1815.5</v>
      </c>
      <c r="J3633" s="70">
        <v>0.99448529411764697</v>
      </c>
    </row>
    <row r="3634" spans="9:10" x14ac:dyDescent="0.3">
      <c r="I3634" s="72">
        <v>1816</v>
      </c>
      <c r="J3634" s="70">
        <v>0.99448529411764697</v>
      </c>
    </row>
    <row r="3635" spans="9:10" x14ac:dyDescent="0.3">
      <c r="I3635" s="72">
        <v>1816.5</v>
      </c>
      <c r="J3635" s="70">
        <v>0.99448529411764697</v>
      </c>
    </row>
    <row r="3636" spans="9:10" x14ac:dyDescent="0.3">
      <c r="I3636" s="72">
        <v>1817</v>
      </c>
      <c r="J3636" s="70">
        <v>0.99448529411764697</v>
      </c>
    </row>
    <row r="3637" spans="9:10" x14ac:dyDescent="0.3">
      <c r="I3637" s="72">
        <v>1817.5</v>
      </c>
      <c r="J3637" s="70">
        <v>0.99448529411764697</v>
      </c>
    </row>
    <row r="3638" spans="9:10" x14ac:dyDescent="0.3">
      <c r="I3638" s="72">
        <v>1818</v>
      </c>
      <c r="J3638" s="70">
        <v>0.99448529411764697</v>
      </c>
    </row>
    <row r="3639" spans="9:10" x14ac:dyDescent="0.3">
      <c r="I3639" s="72">
        <v>1818.5</v>
      </c>
      <c r="J3639" s="70">
        <v>0.99448529411764697</v>
      </c>
    </row>
    <row r="3640" spans="9:10" x14ac:dyDescent="0.3">
      <c r="I3640" s="72">
        <v>1819</v>
      </c>
      <c r="J3640" s="70">
        <v>0.99448529411764697</v>
      </c>
    </row>
    <row r="3641" spans="9:10" x14ac:dyDescent="0.3">
      <c r="I3641" s="72">
        <v>1819.5</v>
      </c>
      <c r="J3641" s="70">
        <v>0.99448529411764697</v>
      </c>
    </row>
    <row r="3642" spans="9:10" x14ac:dyDescent="0.3">
      <c r="I3642" s="72">
        <v>1820</v>
      </c>
      <c r="J3642" s="70">
        <v>0.99448529411764697</v>
      </c>
    </row>
    <row r="3643" spans="9:10" x14ac:dyDescent="0.3">
      <c r="I3643" s="72">
        <v>1820.5</v>
      </c>
      <c r="J3643" s="70">
        <v>0.99448529411764697</v>
      </c>
    </row>
    <row r="3644" spans="9:10" x14ac:dyDescent="0.3">
      <c r="I3644" s="72">
        <v>1821</v>
      </c>
      <c r="J3644" s="70">
        <v>0.99448529411764697</v>
      </c>
    </row>
    <row r="3645" spans="9:10" x14ac:dyDescent="0.3">
      <c r="I3645" s="72">
        <v>1821.5</v>
      </c>
      <c r="J3645" s="70">
        <v>0.99448529411764697</v>
      </c>
    </row>
    <row r="3646" spans="9:10" x14ac:dyDescent="0.3">
      <c r="I3646" s="72">
        <v>1822</v>
      </c>
      <c r="J3646" s="70">
        <v>0.99448529411764697</v>
      </c>
    </row>
    <row r="3647" spans="9:10" x14ac:dyDescent="0.3">
      <c r="I3647" s="72">
        <v>1822.5</v>
      </c>
      <c r="J3647" s="70">
        <v>0.99448529411764697</v>
      </c>
    </row>
    <row r="3648" spans="9:10" x14ac:dyDescent="0.3">
      <c r="I3648" s="72">
        <v>1823</v>
      </c>
      <c r="J3648" s="70">
        <v>0.99448529411764697</v>
      </c>
    </row>
    <row r="3649" spans="9:10" x14ac:dyDescent="0.3">
      <c r="I3649" s="72">
        <v>1823.5</v>
      </c>
      <c r="J3649" s="70">
        <v>0.99448529411764697</v>
      </c>
    </row>
    <row r="3650" spans="9:10" x14ac:dyDescent="0.3">
      <c r="I3650" s="72">
        <v>1824</v>
      </c>
      <c r="J3650" s="70">
        <v>0.99448529411764697</v>
      </c>
    </row>
    <row r="3651" spans="9:10" x14ac:dyDescent="0.3">
      <c r="I3651" s="72">
        <v>1824.5</v>
      </c>
      <c r="J3651" s="70">
        <v>0.99448529411764697</v>
      </c>
    </row>
    <row r="3652" spans="9:10" x14ac:dyDescent="0.3">
      <c r="I3652" s="72">
        <v>1825</v>
      </c>
      <c r="J3652" s="70">
        <v>0.99448529411764697</v>
      </c>
    </row>
    <row r="3653" spans="9:10" x14ac:dyDescent="0.3">
      <c r="I3653" s="72">
        <v>1825.5</v>
      </c>
      <c r="J3653" s="70">
        <v>0.99448529411764697</v>
      </c>
    </row>
    <row r="3654" spans="9:10" x14ac:dyDescent="0.3">
      <c r="I3654" s="72">
        <v>1826</v>
      </c>
      <c r="J3654" s="70">
        <v>0.99448529411764697</v>
      </c>
    </row>
    <row r="3655" spans="9:10" x14ac:dyDescent="0.3">
      <c r="I3655" s="72">
        <v>1826.5</v>
      </c>
      <c r="J3655" s="70">
        <v>0.99448529411764697</v>
      </c>
    </row>
    <row r="3656" spans="9:10" x14ac:dyDescent="0.3">
      <c r="I3656" s="72">
        <v>1827</v>
      </c>
      <c r="J3656" s="70">
        <v>0.99448529411764697</v>
      </c>
    </row>
    <row r="3657" spans="9:10" x14ac:dyDescent="0.3">
      <c r="I3657" s="72">
        <v>1827.5</v>
      </c>
      <c r="J3657" s="70">
        <v>0.99448529411764697</v>
      </c>
    </row>
    <row r="3658" spans="9:10" x14ac:dyDescent="0.3">
      <c r="I3658" s="72">
        <v>1828</v>
      </c>
      <c r="J3658" s="70">
        <v>0.99448529411764697</v>
      </c>
    </row>
    <row r="3659" spans="9:10" x14ac:dyDescent="0.3">
      <c r="I3659" s="72">
        <v>1828.5</v>
      </c>
      <c r="J3659" s="70">
        <v>0.99448529411764697</v>
      </c>
    </row>
    <row r="3660" spans="9:10" x14ac:dyDescent="0.3">
      <c r="I3660" s="72">
        <v>1829</v>
      </c>
      <c r="J3660" s="70">
        <v>0.99448529411764697</v>
      </c>
    </row>
    <row r="3661" spans="9:10" x14ac:dyDescent="0.3">
      <c r="I3661" s="72">
        <v>1829.5</v>
      </c>
      <c r="J3661" s="70">
        <v>0.99448529411764697</v>
      </c>
    </row>
    <row r="3662" spans="9:10" x14ac:dyDescent="0.3">
      <c r="I3662" s="72">
        <v>1830</v>
      </c>
      <c r="J3662" s="70">
        <v>0.99448529411764697</v>
      </c>
    </row>
    <row r="3663" spans="9:10" x14ac:dyDescent="0.3">
      <c r="I3663" s="72">
        <v>1830.5</v>
      </c>
      <c r="J3663" s="70">
        <v>0.99448529411764697</v>
      </c>
    </row>
    <row r="3664" spans="9:10" x14ac:dyDescent="0.3">
      <c r="I3664" s="72">
        <v>1831</v>
      </c>
      <c r="J3664" s="70">
        <v>0.99448529411764697</v>
      </c>
    </row>
    <row r="3665" spans="9:10" x14ac:dyDescent="0.3">
      <c r="I3665" s="72">
        <v>1831.5</v>
      </c>
      <c r="J3665" s="70">
        <v>0.99448529411764697</v>
      </c>
    </row>
    <row r="3666" spans="9:10" x14ac:dyDescent="0.3">
      <c r="I3666" s="72">
        <v>1832</v>
      </c>
      <c r="J3666" s="70">
        <v>0.99448529411764697</v>
      </c>
    </row>
    <row r="3667" spans="9:10" x14ac:dyDescent="0.3">
      <c r="I3667" s="72">
        <v>1832.5</v>
      </c>
      <c r="J3667" s="70">
        <v>0.99448529411764697</v>
      </c>
    </row>
    <row r="3668" spans="9:10" x14ac:dyDescent="0.3">
      <c r="I3668" s="72">
        <v>1833</v>
      </c>
      <c r="J3668" s="70">
        <v>0.99448529411764697</v>
      </c>
    </row>
    <row r="3669" spans="9:10" x14ac:dyDescent="0.3">
      <c r="I3669" s="72">
        <v>1833.5</v>
      </c>
      <c r="J3669" s="70">
        <v>0.99448529411764697</v>
      </c>
    </row>
    <row r="3670" spans="9:10" x14ac:dyDescent="0.3">
      <c r="I3670" s="72">
        <v>1834</v>
      </c>
      <c r="J3670" s="70">
        <v>0.99448529411764697</v>
      </c>
    </row>
    <row r="3671" spans="9:10" x14ac:dyDescent="0.3">
      <c r="I3671" s="72">
        <v>1834.5</v>
      </c>
      <c r="J3671" s="70">
        <v>0.99448529411764697</v>
      </c>
    </row>
    <row r="3672" spans="9:10" x14ac:dyDescent="0.3">
      <c r="I3672" s="72">
        <v>1835</v>
      </c>
      <c r="J3672" s="70">
        <v>0.99448529411764697</v>
      </c>
    </row>
    <row r="3673" spans="9:10" x14ac:dyDescent="0.3">
      <c r="I3673" s="72">
        <v>1835.5</v>
      </c>
      <c r="J3673" s="70">
        <v>0.99448529411764697</v>
      </c>
    </row>
    <row r="3674" spans="9:10" x14ac:dyDescent="0.3">
      <c r="I3674" s="72">
        <v>1836</v>
      </c>
      <c r="J3674" s="70">
        <v>0.99448529411764697</v>
      </c>
    </row>
    <row r="3675" spans="9:10" x14ac:dyDescent="0.3">
      <c r="I3675" s="72">
        <v>1836.5</v>
      </c>
      <c r="J3675" s="70">
        <v>0.99448529411764697</v>
      </c>
    </row>
    <row r="3676" spans="9:10" x14ac:dyDescent="0.3">
      <c r="I3676" s="72">
        <v>1837</v>
      </c>
      <c r="J3676" s="70">
        <v>0.99448529411764697</v>
      </c>
    </row>
    <row r="3677" spans="9:10" x14ac:dyDescent="0.3">
      <c r="I3677" s="72">
        <v>1837.5</v>
      </c>
      <c r="J3677" s="70">
        <v>0.99448529411764697</v>
      </c>
    </row>
    <row r="3678" spans="9:10" x14ac:dyDescent="0.3">
      <c r="I3678" s="72">
        <v>1838</v>
      </c>
      <c r="J3678" s="70">
        <v>0.99448529411764697</v>
      </c>
    </row>
    <row r="3679" spans="9:10" x14ac:dyDescent="0.3">
      <c r="I3679" s="72">
        <v>1838.5</v>
      </c>
      <c r="J3679" s="70">
        <v>0.99448529411764697</v>
      </c>
    </row>
    <row r="3680" spans="9:10" x14ac:dyDescent="0.3">
      <c r="I3680" s="72">
        <v>1839</v>
      </c>
      <c r="J3680" s="70">
        <v>0.99448529411764697</v>
      </c>
    </row>
    <row r="3681" spans="9:10" x14ac:dyDescent="0.3">
      <c r="I3681" s="72">
        <v>1839.5</v>
      </c>
      <c r="J3681" s="70">
        <v>0.99448529411764697</v>
      </c>
    </row>
    <row r="3682" spans="9:10" x14ac:dyDescent="0.3">
      <c r="I3682" s="72">
        <v>1840</v>
      </c>
      <c r="J3682" s="70">
        <v>0.99448529411764697</v>
      </c>
    </row>
    <row r="3683" spans="9:10" x14ac:dyDescent="0.3">
      <c r="I3683" s="72">
        <v>1840.5</v>
      </c>
      <c r="J3683" s="70">
        <v>0.99448529411764697</v>
      </c>
    </row>
    <row r="3684" spans="9:10" x14ac:dyDescent="0.3">
      <c r="I3684" s="72">
        <v>1841</v>
      </c>
      <c r="J3684" s="70">
        <v>0.99448529411764697</v>
      </c>
    </row>
    <row r="3685" spans="9:10" x14ac:dyDescent="0.3">
      <c r="I3685" s="72">
        <v>1841.5</v>
      </c>
      <c r="J3685" s="70">
        <v>0.99448529411764697</v>
      </c>
    </row>
    <row r="3686" spans="9:10" x14ac:dyDescent="0.3">
      <c r="I3686" s="72">
        <v>1842</v>
      </c>
      <c r="J3686" s="70">
        <v>0.99448529411764697</v>
      </c>
    </row>
    <row r="3687" spans="9:10" x14ac:dyDescent="0.3">
      <c r="I3687" s="72">
        <v>1842.5</v>
      </c>
      <c r="J3687" s="70">
        <v>0.99448529411764697</v>
      </c>
    </row>
    <row r="3688" spans="9:10" x14ac:dyDescent="0.3">
      <c r="I3688" s="72">
        <v>1843</v>
      </c>
      <c r="J3688" s="70">
        <v>0.99448529411764697</v>
      </c>
    </row>
    <row r="3689" spans="9:10" x14ac:dyDescent="0.3">
      <c r="I3689" s="72">
        <v>1843.5</v>
      </c>
      <c r="J3689" s="70">
        <v>0.99448529411764697</v>
      </c>
    </row>
    <row r="3690" spans="9:10" x14ac:dyDescent="0.3">
      <c r="I3690" s="72">
        <v>1844</v>
      </c>
      <c r="J3690" s="70">
        <v>0.99448529411764697</v>
      </c>
    </row>
    <row r="3691" spans="9:10" x14ac:dyDescent="0.3">
      <c r="I3691" s="72">
        <v>1844.5</v>
      </c>
      <c r="J3691" s="70">
        <v>0.99448529411764697</v>
      </c>
    </row>
    <row r="3692" spans="9:10" x14ac:dyDescent="0.3">
      <c r="I3692" s="72">
        <v>1845</v>
      </c>
      <c r="J3692" s="70">
        <v>0.99448529411764697</v>
      </c>
    </row>
    <row r="3693" spans="9:10" x14ac:dyDescent="0.3">
      <c r="I3693" s="72">
        <v>1845.5</v>
      </c>
      <c r="J3693" s="70">
        <v>0.99448529411764697</v>
      </c>
    </row>
    <row r="3694" spans="9:10" x14ac:dyDescent="0.3">
      <c r="I3694" s="72">
        <v>1846</v>
      </c>
      <c r="J3694" s="70">
        <v>0.99448529411764697</v>
      </c>
    </row>
    <row r="3695" spans="9:10" x14ac:dyDescent="0.3">
      <c r="I3695" s="72">
        <v>1846.5</v>
      </c>
      <c r="J3695" s="70">
        <v>0.99448529411764697</v>
      </c>
    </row>
    <row r="3696" spans="9:10" x14ac:dyDescent="0.3">
      <c r="I3696" s="72">
        <v>1847</v>
      </c>
      <c r="J3696" s="70">
        <v>0.99448529411764697</v>
      </c>
    </row>
    <row r="3697" spans="9:10" x14ac:dyDescent="0.3">
      <c r="I3697" s="72">
        <v>1847.5</v>
      </c>
      <c r="J3697" s="70">
        <v>0.99448529411764697</v>
      </c>
    </row>
    <row r="3698" spans="9:10" x14ac:dyDescent="0.3">
      <c r="I3698" s="72">
        <v>1848</v>
      </c>
      <c r="J3698" s="70">
        <v>0.99448529411764697</v>
      </c>
    </row>
    <row r="3699" spans="9:10" x14ac:dyDescent="0.3">
      <c r="I3699" s="72">
        <v>1848.5</v>
      </c>
      <c r="J3699" s="70">
        <v>0.99448529411764697</v>
      </c>
    </row>
    <row r="3700" spans="9:10" x14ac:dyDescent="0.3">
      <c r="I3700" s="72">
        <v>1849</v>
      </c>
      <c r="J3700" s="70">
        <v>0.99448529411764697</v>
      </c>
    </row>
    <row r="3701" spans="9:10" x14ac:dyDescent="0.3">
      <c r="I3701" s="72">
        <v>1849.5</v>
      </c>
      <c r="J3701" s="70">
        <v>0.99448529411764697</v>
      </c>
    </row>
    <row r="3702" spans="9:10" x14ac:dyDescent="0.3">
      <c r="I3702" s="72">
        <v>1850</v>
      </c>
      <c r="J3702" s="70">
        <v>0.99448529411764697</v>
      </c>
    </row>
    <row r="3703" spans="9:10" x14ac:dyDescent="0.3">
      <c r="I3703" s="72">
        <v>1850.5</v>
      </c>
      <c r="J3703" s="70">
        <v>0.99448529411764697</v>
      </c>
    </row>
    <row r="3704" spans="9:10" x14ac:dyDescent="0.3">
      <c r="I3704" s="72">
        <v>1851</v>
      </c>
      <c r="J3704" s="70">
        <v>0.99448529411764697</v>
      </c>
    </row>
    <row r="3705" spans="9:10" x14ac:dyDescent="0.3">
      <c r="I3705" s="72">
        <v>1851.5</v>
      </c>
      <c r="J3705" s="70">
        <v>0.99448529411764697</v>
      </c>
    </row>
    <row r="3706" spans="9:10" x14ac:dyDescent="0.3">
      <c r="I3706" s="72">
        <v>1852</v>
      </c>
      <c r="J3706" s="70">
        <v>0.99448529411764697</v>
      </c>
    </row>
    <row r="3707" spans="9:10" x14ac:dyDescent="0.3">
      <c r="I3707" s="72">
        <v>1852.5</v>
      </c>
      <c r="J3707" s="70">
        <v>0.99448529411764697</v>
      </c>
    </row>
    <row r="3708" spans="9:10" x14ac:dyDescent="0.3">
      <c r="I3708" s="72">
        <v>1853</v>
      </c>
      <c r="J3708" s="70">
        <v>0.99448529411764697</v>
      </c>
    </row>
    <row r="3709" spans="9:10" x14ac:dyDescent="0.3">
      <c r="I3709" s="72">
        <v>1853.5</v>
      </c>
      <c r="J3709" s="70">
        <v>0.99448529411764697</v>
      </c>
    </row>
    <row r="3710" spans="9:10" x14ac:dyDescent="0.3">
      <c r="I3710" s="72">
        <v>1854</v>
      </c>
      <c r="J3710" s="70">
        <v>0.99448529411764697</v>
      </c>
    </row>
    <row r="3711" spans="9:10" x14ac:dyDescent="0.3">
      <c r="I3711" s="72">
        <v>1854.5</v>
      </c>
      <c r="J3711" s="70">
        <v>0.99448529411764697</v>
      </c>
    </row>
    <row r="3712" spans="9:10" x14ac:dyDescent="0.3">
      <c r="I3712" s="72">
        <v>1855</v>
      </c>
      <c r="J3712" s="70">
        <v>0.99448529411764697</v>
      </c>
    </row>
    <row r="3713" spans="9:10" x14ac:dyDescent="0.3">
      <c r="I3713" s="72">
        <v>1855.5</v>
      </c>
      <c r="J3713" s="70">
        <v>0.99448529411764697</v>
      </c>
    </row>
    <row r="3714" spans="9:10" x14ac:dyDescent="0.3">
      <c r="I3714" s="72">
        <v>1856</v>
      </c>
      <c r="J3714" s="70">
        <v>0.99448529411764697</v>
      </c>
    </row>
    <row r="3715" spans="9:10" x14ac:dyDescent="0.3">
      <c r="I3715" s="72">
        <v>1856.5</v>
      </c>
      <c r="J3715" s="70">
        <v>0.99448529411764697</v>
      </c>
    </row>
    <row r="3716" spans="9:10" x14ac:dyDescent="0.3">
      <c r="I3716" s="72">
        <v>1857</v>
      </c>
      <c r="J3716" s="70">
        <v>0.99448529411764697</v>
      </c>
    </row>
    <row r="3717" spans="9:10" x14ac:dyDescent="0.3">
      <c r="I3717" s="72">
        <v>1857.5</v>
      </c>
      <c r="J3717" s="70">
        <v>0.99448529411764697</v>
      </c>
    </row>
    <row r="3718" spans="9:10" x14ac:dyDescent="0.3">
      <c r="I3718" s="72">
        <v>1858</v>
      </c>
      <c r="J3718" s="70">
        <v>0.99448529411764697</v>
      </c>
    </row>
    <row r="3719" spans="9:10" x14ac:dyDescent="0.3">
      <c r="I3719" s="72">
        <v>1858.5</v>
      </c>
      <c r="J3719" s="70">
        <v>0.99448529411764697</v>
      </c>
    </row>
    <row r="3720" spans="9:10" x14ac:dyDescent="0.3">
      <c r="I3720" s="72">
        <v>1859</v>
      </c>
      <c r="J3720" s="70">
        <v>0.99448529411764697</v>
      </c>
    </row>
    <row r="3721" spans="9:10" x14ac:dyDescent="0.3">
      <c r="I3721" s="72">
        <v>1859.5</v>
      </c>
      <c r="J3721" s="70">
        <v>0.99448529411764697</v>
      </c>
    </row>
    <row r="3722" spans="9:10" x14ac:dyDescent="0.3">
      <c r="I3722" s="72">
        <v>1860</v>
      </c>
      <c r="J3722" s="70">
        <v>0.99448529411764697</v>
      </c>
    </row>
    <row r="3723" spans="9:10" x14ac:dyDescent="0.3">
      <c r="I3723" s="72">
        <v>1860.5</v>
      </c>
      <c r="J3723" s="70">
        <v>0.99448529411764697</v>
      </c>
    </row>
    <row r="3724" spans="9:10" x14ac:dyDescent="0.3">
      <c r="I3724" s="72">
        <v>1861</v>
      </c>
      <c r="J3724" s="70">
        <v>0.99448529411764697</v>
      </c>
    </row>
    <row r="3725" spans="9:10" x14ac:dyDescent="0.3">
      <c r="I3725" s="72">
        <v>1861.5</v>
      </c>
      <c r="J3725" s="70">
        <v>0.99448529411764697</v>
      </c>
    </row>
    <row r="3726" spans="9:10" x14ac:dyDescent="0.3">
      <c r="I3726" s="72">
        <v>1862</v>
      </c>
      <c r="J3726" s="70">
        <v>0.99448529411764697</v>
      </c>
    </row>
    <row r="3727" spans="9:10" x14ac:dyDescent="0.3">
      <c r="I3727" s="72">
        <v>1862.5</v>
      </c>
      <c r="J3727" s="70">
        <v>0.99448529411764697</v>
      </c>
    </row>
    <row r="3728" spans="9:10" x14ac:dyDescent="0.3">
      <c r="I3728" s="72">
        <v>1863</v>
      </c>
      <c r="J3728" s="70">
        <v>0.99448529411764697</v>
      </c>
    </row>
    <row r="3729" spans="9:10" x14ac:dyDescent="0.3">
      <c r="I3729" s="72">
        <v>1863.5</v>
      </c>
      <c r="J3729" s="70">
        <v>0.99448529411764697</v>
      </c>
    </row>
    <row r="3730" spans="9:10" x14ac:dyDescent="0.3">
      <c r="I3730" s="72">
        <v>1864</v>
      </c>
      <c r="J3730" s="70">
        <v>0.99448529411764697</v>
      </c>
    </row>
    <row r="3731" spans="9:10" x14ac:dyDescent="0.3">
      <c r="I3731" s="72">
        <v>1864.5</v>
      </c>
      <c r="J3731" s="70">
        <v>0.99448529411764697</v>
      </c>
    </row>
    <row r="3732" spans="9:10" x14ac:dyDescent="0.3">
      <c r="I3732" s="72">
        <v>1865</v>
      </c>
      <c r="J3732" s="70">
        <v>0.99448529411764697</v>
      </c>
    </row>
    <row r="3733" spans="9:10" x14ac:dyDescent="0.3">
      <c r="I3733" s="72">
        <v>1865.5</v>
      </c>
      <c r="J3733" s="70">
        <v>0.99448529411764697</v>
      </c>
    </row>
    <row r="3734" spans="9:10" x14ac:dyDescent="0.3">
      <c r="I3734" s="72">
        <v>1866</v>
      </c>
      <c r="J3734" s="70">
        <v>0.99448529411764697</v>
      </c>
    </row>
    <row r="3735" spans="9:10" x14ac:dyDescent="0.3">
      <c r="I3735" s="72">
        <v>1866.5</v>
      </c>
      <c r="J3735" s="70">
        <v>0.99448529411764697</v>
      </c>
    </row>
    <row r="3736" spans="9:10" x14ac:dyDescent="0.3">
      <c r="I3736" s="72">
        <v>1867</v>
      </c>
      <c r="J3736" s="70">
        <v>0.99448529411764697</v>
      </c>
    </row>
    <row r="3737" spans="9:10" x14ac:dyDescent="0.3">
      <c r="I3737" s="72">
        <v>1867.5</v>
      </c>
      <c r="J3737" s="70">
        <v>0.99448529411764697</v>
      </c>
    </row>
    <row r="3738" spans="9:10" x14ac:dyDescent="0.3">
      <c r="I3738" s="72">
        <v>1868</v>
      </c>
      <c r="J3738" s="70">
        <v>0.99448529411764697</v>
      </c>
    </row>
    <row r="3739" spans="9:10" x14ac:dyDescent="0.3">
      <c r="I3739" s="72">
        <v>1868.5</v>
      </c>
      <c r="J3739" s="70">
        <v>0.99448529411764697</v>
      </c>
    </row>
    <row r="3740" spans="9:10" x14ac:dyDescent="0.3">
      <c r="I3740" s="72">
        <v>1869</v>
      </c>
      <c r="J3740" s="70">
        <v>0.99448529411764697</v>
      </c>
    </row>
    <row r="3741" spans="9:10" x14ac:dyDescent="0.3">
      <c r="I3741" s="72">
        <v>1869.5</v>
      </c>
      <c r="J3741" s="70">
        <v>0.99448529411764697</v>
      </c>
    </row>
    <row r="3742" spans="9:10" x14ac:dyDescent="0.3">
      <c r="I3742" s="72">
        <v>1870</v>
      </c>
      <c r="J3742" s="70">
        <v>0.99448529411764697</v>
      </c>
    </row>
    <row r="3743" spans="9:10" x14ac:dyDescent="0.3">
      <c r="I3743" s="72">
        <v>1870.5</v>
      </c>
      <c r="J3743" s="70">
        <v>0.99448529411764697</v>
      </c>
    </row>
    <row r="3744" spans="9:10" x14ac:dyDescent="0.3">
      <c r="I3744" s="72">
        <v>1871</v>
      </c>
      <c r="J3744" s="70">
        <v>0.99448529411764697</v>
      </c>
    </row>
    <row r="3745" spans="9:10" x14ac:dyDescent="0.3">
      <c r="I3745" s="72">
        <v>1871.5</v>
      </c>
      <c r="J3745" s="70">
        <v>0.99448529411764697</v>
      </c>
    </row>
    <row r="3746" spans="9:10" x14ac:dyDescent="0.3">
      <c r="I3746" s="72">
        <v>1872</v>
      </c>
      <c r="J3746" s="70">
        <v>0.99448529411764697</v>
      </c>
    </row>
    <row r="3747" spans="9:10" x14ac:dyDescent="0.3">
      <c r="I3747" s="72">
        <v>1872.5</v>
      </c>
      <c r="J3747" s="70">
        <v>0.99448529411764697</v>
      </c>
    </row>
    <row r="3748" spans="9:10" x14ac:dyDescent="0.3">
      <c r="I3748" s="72">
        <v>1873</v>
      </c>
      <c r="J3748" s="70">
        <v>0.99448529411764697</v>
      </c>
    </row>
    <row r="3749" spans="9:10" x14ac:dyDescent="0.3">
      <c r="I3749" s="72">
        <v>1873.5</v>
      </c>
      <c r="J3749" s="70">
        <v>0.99448529411764697</v>
      </c>
    </row>
    <row r="3750" spans="9:10" x14ac:dyDescent="0.3">
      <c r="I3750" s="72">
        <v>1874</v>
      </c>
      <c r="J3750" s="70">
        <v>0.99448529411764697</v>
      </c>
    </row>
    <row r="3751" spans="9:10" x14ac:dyDescent="0.3">
      <c r="I3751" s="72">
        <v>1874.5</v>
      </c>
      <c r="J3751" s="70">
        <v>0.99448529411764697</v>
      </c>
    </row>
    <row r="3752" spans="9:10" x14ac:dyDescent="0.3">
      <c r="I3752" s="72">
        <v>1875</v>
      </c>
      <c r="J3752" s="70">
        <v>0.99448529411764697</v>
      </c>
    </row>
    <row r="3753" spans="9:10" x14ac:dyDescent="0.3">
      <c r="I3753" s="72">
        <v>1875.5</v>
      </c>
      <c r="J3753" s="70">
        <v>0.99448529411764697</v>
      </c>
    </row>
    <row r="3754" spans="9:10" x14ac:dyDescent="0.3">
      <c r="I3754" s="72">
        <v>1876</v>
      </c>
      <c r="J3754" s="70">
        <v>0.99448529411764697</v>
      </c>
    </row>
    <row r="3755" spans="9:10" x14ac:dyDescent="0.3">
      <c r="I3755" s="72">
        <v>1876.5</v>
      </c>
      <c r="J3755" s="70">
        <v>0.99448529411764697</v>
      </c>
    </row>
    <row r="3756" spans="9:10" x14ac:dyDescent="0.3">
      <c r="I3756" s="72">
        <v>1877</v>
      </c>
      <c r="J3756" s="70">
        <v>0.99448529411764697</v>
      </c>
    </row>
    <row r="3757" spans="9:10" x14ac:dyDescent="0.3">
      <c r="I3757" s="72">
        <v>1877.5</v>
      </c>
      <c r="J3757" s="70">
        <v>0.99448529411764697</v>
      </c>
    </row>
    <row r="3758" spans="9:10" x14ac:dyDescent="0.3">
      <c r="I3758" s="72">
        <v>1878</v>
      </c>
      <c r="J3758" s="70">
        <v>0.99448529411764697</v>
      </c>
    </row>
    <row r="3759" spans="9:10" x14ac:dyDescent="0.3">
      <c r="I3759" s="72">
        <v>1878.5</v>
      </c>
      <c r="J3759" s="70">
        <v>0.99448529411764697</v>
      </c>
    </row>
    <row r="3760" spans="9:10" x14ac:dyDescent="0.3">
      <c r="I3760" s="72">
        <v>1879</v>
      </c>
      <c r="J3760" s="70">
        <v>0.99448529411764697</v>
      </c>
    </row>
    <row r="3761" spans="9:10" x14ac:dyDescent="0.3">
      <c r="I3761" s="72">
        <v>1879.5</v>
      </c>
      <c r="J3761" s="70">
        <v>0.99448529411764697</v>
      </c>
    </row>
    <row r="3762" spans="9:10" x14ac:dyDescent="0.3">
      <c r="I3762" s="72">
        <v>1880</v>
      </c>
      <c r="J3762" s="70">
        <v>0.99448529411764697</v>
      </c>
    </row>
    <row r="3763" spans="9:10" x14ac:dyDescent="0.3">
      <c r="I3763" s="72">
        <v>1880.5</v>
      </c>
      <c r="J3763" s="70">
        <v>0.99448529411764697</v>
      </c>
    </row>
    <row r="3764" spans="9:10" x14ac:dyDescent="0.3">
      <c r="I3764" s="72">
        <v>1881</v>
      </c>
      <c r="J3764" s="70">
        <v>0.99448529411764697</v>
      </c>
    </row>
    <row r="3765" spans="9:10" x14ac:dyDescent="0.3">
      <c r="I3765" s="72">
        <v>1881.5</v>
      </c>
      <c r="J3765" s="70">
        <v>0.99448529411764697</v>
      </c>
    </row>
    <row r="3766" spans="9:10" x14ac:dyDescent="0.3">
      <c r="I3766" s="72">
        <v>1882</v>
      </c>
      <c r="J3766" s="70">
        <v>0.99448529411764697</v>
      </c>
    </row>
    <row r="3767" spans="9:10" x14ac:dyDescent="0.3">
      <c r="I3767" s="72">
        <v>1882.5</v>
      </c>
      <c r="J3767" s="70">
        <v>0.99448529411764697</v>
      </c>
    </row>
    <row r="3768" spans="9:10" x14ac:dyDescent="0.3">
      <c r="I3768" s="72">
        <v>1883</v>
      </c>
      <c r="J3768" s="70">
        <v>0.99448529411764697</v>
      </c>
    </row>
    <row r="3769" spans="9:10" x14ac:dyDescent="0.3">
      <c r="I3769" s="72">
        <v>1883.5</v>
      </c>
      <c r="J3769" s="70">
        <v>0.99448529411764697</v>
      </c>
    </row>
    <row r="3770" spans="9:10" x14ac:dyDescent="0.3">
      <c r="I3770" s="72">
        <v>1884</v>
      </c>
      <c r="J3770" s="70">
        <v>0.99448529411764697</v>
      </c>
    </row>
    <row r="3771" spans="9:10" x14ac:dyDescent="0.3">
      <c r="I3771" s="72">
        <v>1884.5</v>
      </c>
      <c r="J3771" s="70">
        <v>0.99448529411764697</v>
      </c>
    </row>
    <row r="3772" spans="9:10" x14ac:dyDescent="0.3">
      <c r="I3772" s="72">
        <v>1885</v>
      </c>
      <c r="J3772" s="70">
        <v>0.99448529411764697</v>
      </c>
    </row>
    <row r="3773" spans="9:10" x14ac:dyDescent="0.3">
      <c r="I3773" s="72">
        <v>1885.5</v>
      </c>
      <c r="J3773" s="70">
        <v>0.99448529411764697</v>
      </c>
    </row>
    <row r="3774" spans="9:10" x14ac:dyDescent="0.3">
      <c r="I3774" s="72">
        <v>1886</v>
      </c>
      <c r="J3774" s="70">
        <v>0.99448529411764697</v>
      </c>
    </row>
    <row r="3775" spans="9:10" x14ac:dyDescent="0.3">
      <c r="I3775" s="72">
        <v>1886.5</v>
      </c>
      <c r="J3775" s="70">
        <v>0.99448529411764697</v>
      </c>
    </row>
    <row r="3776" spans="9:10" x14ac:dyDescent="0.3">
      <c r="I3776" s="72">
        <v>1887</v>
      </c>
      <c r="J3776" s="70">
        <v>0.99448529411764697</v>
      </c>
    </row>
    <row r="3777" spans="9:10" x14ac:dyDescent="0.3">
      <c r="I3777" s="72">
        <v>1887.5</v>
      </c>
      <c r="J3777" s="70">
        <v>0.99448529411764697</v>
      </c>
    </row>
    <row r="3778" spans="9:10" x14ac:dyDescent="0.3">
      <c r="I3778" s="72">
        <v>1888</v>
      </c>
      <c r="J3778" s="70">
        <v>0.99448529411764697</v>
      </c>
    </row>
    <row r="3779" spans="9:10" x14ac:dyDescent="0.3">
      <c r="I3779" s="72">
        <v>1888.5</v>
      </c>
      <c r="J3779" s="70">
        <v>0.99448529411764697</v>
      </c>
    </row>
    <row r="3780" spans="9:10" x14ac:dyDescent="0.3">
      <c r="I3780" s="72">
        <v>1889</v>
      </c>
      <c r="J3780" s="70">
        <v>0.99448529411764697</v>
      </c>
    </row>
    <row r="3781" spans="9:10" x14ac:dyDescent="0.3">
      <c r="I3781" s="72">
        <v>1889.5</v>
      </c>
      <c r="J3781" s="70">
        <v>0.99448529411764697</v>
      </c>
    </row>
    <row r="3782" spans="9:10" x14ac:dyDescent="0.3">
      <c r="I3782" s="72">
        <v>1890</v>
      </c>
      <c r="J3782" s="70">
        <v>0.99448529411764697</v>
      </c>
    </row>
    <row r="3783" spans="9:10" x14ac:dyDescent="0.3">
      <c r="I3783" s="72">
        <v>1890.5</v>
      </c>
      <c r="J3783" s="70">
        <v>0.99448529411764697</v>
      </c>
    </row>
    <row r="3784" spans="9:10" x14ac:dyDescent="0.3">
      <c r="I3784" s="72">
        <v>1891</v>
      </c>
      <c r="J3784" s="70">
        <v>0.99448529411764697</v>
      </c>
    </row>
    <row r="3785" spans="9:10" x14ac:dyDescent="0.3">
      <c r="I3785" s="72">
        <v>1891.5</v>
      </c>
      <c r="J3785" s="70">
        <v>0.99448529411764697</v>
      </c>
    </row>
    <row r="3786" spans="9:10" x14ac:dyDescent="0.3">
      <c r="I3786" s="72">
        <v>1892</v>
      </c>
      <c r="J3786" s="70">
        <v>0.99448529411764697</v>
      </c>
    </row>
    <row r="3787" spans="9:10" x14ac:dyDescent="0.3">
      <c r="I3787" s="72">
        <v>1892.5</v>
      </c>
      <c r="J3787" s="70">
        <v>0.99448529411764697</v>
      </c>
    </row>
    <row r="3788" spans="9:10" x14ac:dyDescent="0.3">
      <c r="I3788" s="72">
        <v>1893</v>
      </c>
      <c r="J3788" s="70">
        <v>0.99448529411764697</v>
      </c>
    </row>
    <row r="3789" spans="9:10" x14ac:dyDescent="0.3">
      <c r="I3789" s="72">
        <v>1893.5</v>
      </c>
      <c r="J3789" s="70">
        <v>0.99448529411764697</v>
      </c>
    </row>
    <row r="3790" spans="9:10" x14ac:dyDescent="0.3">
      <c r="I3790" s="72">
        <v>1894</v>
      </c>
      <c r="J3790" s="70">
        <v>0.99448529411764697</v>
      </c>
    </row>
    <row r="3791" spans="9:10" x14ac:dyDescent="0.3">
      <c r="I3791" s="72">
        <v>1894.5</v>
      </c>
      <c r="J3791" s="70">
        <v>0.99448529411764697</v>
      </c>
    </row>
    <row r="3792" spans="9:10" x14ac:dyDescent="0.3">
      <c r="I3792" s="72">
        <v>1895</v>
      </c>
      <c r="J3792" s="70">
        <v>0.99448529411764697</v>
      </c>
    </row>
    <row r="3793" spans="9:10" x14ac:dyDescent="0.3">
      <c r="I3793" s="72">
        <v>1895.5</v>
      </c>
      <c r="J3793" s="70">
        <v>0.99448529411764697</v>
      </c>
    </row>
    <row r="3794" spans="9:10" x14ac:dyDescent="0.3">
      <c r="I3794" s="72">
        <v>1896</v>
      </c>
      <c r="J3794" s="70">
        <v>0.99448529411764697</v>
      </c>
    </row>
    <row r="3795" spans="9:10" x14ac:dyDescent="0.3">
      <c r="I3795" s="72">
        <v>1896.5</v>
      </c>
      <c r="J3795" s="70">
        <v>0.99448529411764697</v>
      </c>
    </row>
    <row r="3796" spans="9:10" x14ac:dyDescent="0.3">
      <c r="I3796" s="72">
        <v>1897</v>
      </c>
      <c r="J3796" s="70">
        <v>0.99448529411764697</v>
      </c>
    </row>
    <row r="3797" spans="9:10" x14ac:dyDescent="0.3">
      <c r="I3797" s="72">
        <v>1897.5</v>
      </c>
      <c r="J3797" s="70">
        <v>0.99448529411764697</v>
      </c>
    </row>
    <row r="3798" spans="9:10" x14ac:dyDescent="0.3">
      <c r="I3798" s="72">
        <v>1898</v>
      </c>
      <c r="J3798" s="70">
        <v>0.99448529411764697</v>
      </c>
    </row>
    <row r="3799" spans="9:10" x14ac:dyDescent="0.3">
      <c r="I3799" s="72">
        <v>1898.5</v>
      </c>
      <c r="J3799" s="70">
        <v>0.99448529411764697</v>
      </c>
    </row>
    <row r="3800" spans="9:10" x14ac:dyDescent="0.3">
      <c r="I3800" s="72">
        <v>1899</v>
      </c>
      <c r="J3800" s="70">
        <v>0.99448529411764697</v>
      </c>
    </row>
    <row r="3801" spans="9:10" x14ac:dyDescent="0.3">
      <c r="I3801" s="72">
        <v>1899.5</v>
      </c>
      <c r="J3801" s="70">
        <v>0.99448529411764697</v>
      </c>
    </row>
    <row r="3802" spans="9:10" x14ac:dyDescent="0.3">
      <c r="I3802" s="72">
        <v>1900</v>
      </c>
      <c r="J3802" s="70">
        <v>0.99448529411764697</v>
      </c>
    </row>
    <row r="3803" spans="9:10" x14ac:dyDescent="0.3">
      <c r="I3803" s="72">
        <v>1900.5</v>
      </c>
      <c r="J3803" s="70">
        <v>0.99448529411764697</v>
      </c>
    </row>
    <row r="3804" spans="9:10" x14ac:dyDescent="0.3">
      <c r="I3804" s="72">
        <v>1901</v>
      </c>
      <c r="J3804" s="70">
        <v>0.99448529411764697</v>
      </c>
    </row>
    <row r="3805" spans="9:10" x14ac:dyDescent="0.3">
      <c r="I3805" s="72">
        <v>1901.5</v>
      </c>
      <c r="J3805" s="70">
        <v>0.99448529411764697</v>
      </c>
    </row>
    <row r="3806" spans="9:10" x14ac:dyDescent="0.3">
      <c r="I3806" s="72">
        <v>1902</v>
      </c>
      <c r="J3806" s="70">
        <v>0.99448529411764697</v>
      </c>
    </row>
    <row r="3807" spans="9:10" x14ac:dyDescent="0.3">
      <c r="I3807" s="72">
        <v>1902.5</v>
      </c>
      <c r="J3807" s="70">
        <v>0.99448529411764697</v>
      </c>
    </row>
    <row r="3808" spans="9:10" x14ac:dyDescent="0.3">
      <c r="I3808" s="72">
        <v>1903</v>
      </c>
      <c r="J3808" s="70">
        <v>0.99448529411764697</v>
      </c>
    </row>
    <row r="3809" spans="9:10" x14ac:dyDescent="0.3">
      <c r="I3809" s="72">
        <v>1903.5</v>
      </c>
      <c r="J3809" s="70">
        <v>0.99448529411764697</v>
      </c>
    </row>
    <row r="3810" spans="9:10" x14ac:dyDescent="0.3">
      <c r="I3810" s="72">
        <v>1904</v>
      </c>
      <c r="J3810" s="70">
        <v>0.99448529411764697</v>
      </c>
    </row>
    <row r="3811" spans="9:10" x14ac:dyDescent="0.3">
      <c r="I3811" s="72">
        <v>1904.5</v>
      </c>
      <c r="J3811" s="70">
        <v>0.99448529411764697</v>
      </c>
    </row>
    <row r="3812" spans="9:10" x14ac:dyDescent="0.3">
      <c r="I3812" s="72">
        <v>1905</v>
      </c>
      <c r="J3812" s="70">
        <v>0.99448529411764697</v>
      </c>
    </row>
    <row r="3813" spans="9:10" x14ac:dyDescent="0.3">
      <c r="I3813" s="72">
        <v>1905.5</v>
      </c>
      <c r="J3813" s="70">
        <v>0.99448529411764697</v>
      </c>
    </row>
    <row r="3814" spans="9:10" x14ac:dyDescent="0.3">
      <c r="I3814" s="72">
        <v>1906</v>
      </c>
      <c r="J3814" s="70">
        <v>0.99448529411764697</v>
      </c>
    </row>
    <row r="3815" spans="9:10" x14ac:dyDescent="0.3">
      <c r="I3815" s="72">
        <v>1906.5</v>
      </c>
      <c r="J3815" s="70">
        <v>0.99448529411764697</v>
      </c>
    </row>
    <row r="3816" spans="9:10" x14ac:dyDescent="0.3">
      <c r="I3816" s="72">
        <v>1907</v>
      </c>
      <c r="J3816" s="70">
        <v>0.99448529411764697</v>
      </c>
    </row>
    <row r="3817" spans="9:10" x14ac:dyDescent="0.3">
      <c r="I3817" s="72">
        <v>1907.5</v>
      </c>
      <c r="J3817" s="70">
        <v>0.99448529411764697</v>
      </c>
    </row>
    <row r="3818" spans="9:10" x14ac:dyDescent="0.3">
      <c r="I3818" s="72">
        <v>1908</v>
      </c>
      <c r="J3818" s="70">
        <v>0.99448529411764697</v>
      </c>
    </row>
    <row r="3819" spans="9:10" x14ac:dyDescent="0.3">
      <c r="I3819" s="72">
        <v>1908.5</v>
      </c>
      <c r="J3819" s="70">
        <v>0.99448529411764697</v>
      </c>
    </row>
    <row r="3820" spans="9:10" x14ac:dyDescent="0.3">
      <c r="I3820" s="72">
        <v>1909</v>
      </c>
      <c r="J3820" s="70">
        <v>0.99448529411764697</v>
      </c>
    </row>
    <row r="3821" spans="9:10" x14ac:dyDescent="0.3">
      <c r="I3821" s="72">
        <v>1909.5</v>
      </c>
      <c r="J3821" s="70">
        <v>0.99448529411764697</v>
      </c>
    </row>
    <row r="3822" spans="9:10" x14ac:dyDescent="0.3">
      <c r="I3822" s="72">
        <v>1910</v>
      </c>
      <c r="J3822" s="70">
        <v>0.99448529411764697</v>
      </c>
    </row>
    <row r="3823" spans="9:10" x14ac:dyDescent="0.3">
      <c r="I3823" s="72">
        <v>1910.5</v>
      </c>
      <c r="J3823" s="70">
        <v>0.99448529411764697</v>
      </c>
    </row>
    <row r="3824" spans="9:10" x14ac:dyDescent="0.3">
      <c r="I3824" s="72">
        <v>1911</v>
      </c>
      <c r="J3824" s="70">
        <v>0.99448529411764697</v>
      </c>
    </row>
    <row r="3825" spans="9:10" x14ac:dyDescent="0.3">
      <c r="I3825" s="72">
        <v>1911.5</v>
      </c>
      <c r="J3825" s="70">
        <v>0.99448529411764697</v>
      </c>
    </row>
    <row r="3826" spans="9:10" x14ac:dyDescent="0.3">
      <c r="I3826" s="72">
        <v>1912</v>
      </c>
      <c r="J3826" s="70">
        <v>0.99448529411764697</v>
      </c>
    </row>
    <row r="3827" spans="9:10" x14ac:dyDescent="0.3">
      <c r="I3827" s="72">
        <v>1912.5</v>
      </c>
      <c r="J3827" s="70">
        <v>0.99448529411764697</v>
      </c>
    </row>
    <row r="3828" spans="9:10" x14ac:dyDescent="0.3">
      <c r="I3828" s="72">
        <v>1913</v>
      </c>
      <c r="J3828" s="70">
        <v>0.99448529411764697</v>
      </c>
    </row>
    <row r="3829" spans="9:10" x14ac:dyDescent="0.3">
      <c r="I3829" s="72">
        <v>1913.5</v>
      </c>
      <c r="J3829" s="70">
        <v>0.99448529411764697</v>
      </c>
    </row>
    <row r="3830" spans="9:10" x14ac:dyDescent="0.3">
      <c r="I3830" s="72">
        <v>1914</v>
      </c>
      <c r="J3830" s="70">
        <v>0.99448529411764697</v>
      </c>
    </row>
    <row r="3831" spans="9:10" x14ac:dyDescent="0.3">
      <c r="I3831" s="72">
        <v>1914.5</v>
      </c>
      <c r="J3831" s="70">
        <v>0.99448529411764697</v>
      </c>
    </row>
    <row r="3832" spans="9:10" x14ac:dyDescent="0.3">
      <c r="I3832" s="72">
        <v>1915</v>
      </c>
      <c r="J3832" s="70">
        <v>0.99448529411764697</v>
      </c>
    </row>
    <row r="3833" spans="9:10" x14ac:dyDescent="0.3">
      <c r="I3833" s="72">
        <v>1915.5</v>
      </c>
      <c r="J3833" s="70">
        <v>0.99448529411764697</v>
      </c>
    </row>
    <row r="3834" spans="9:10" x14ac:dyDescent="0.3">
      <c r="I3834" s="72">
        <v>1916</v>
      </c>
      <c r="J3834" s="70">
        <v>0.99448529411764697</v>
      </c>
    </row>
    <row r="3835" spans="9:10" x14ac:dyDescent="0.3">
      <c r="I3835" s="72">
        <v>1916.5</v>
      </c>
      <c r="J3835" s="70">
        <v>0.99448529411764697</v>
      </c>
    </row>
    <row r="3836" spans="9:10" x14ac:dyDescent="0.3">
      <c r="I3836" s="72">
        <v>1917</v>
      </c>
      <c r="J3836" s="70">
        <v>0.99448529411764697</v>
      </c>
    </row>
    <row r="3837" spans="9:10" x14ac:dyDescent="0.3">
      <c r="I3837" s="72">
        <v>1917.5</v>
      </c>
      <c r="J3837" s="70">
        <v>0.99448529411764697</v>
      </c>
    </row>
    <row r="3838" spans="9:10" x14ac:dyDescent="0.3">
      <c r="I3838" s="72">
        <v>1918</v>
      </c>
      <c r="J3838" s="70">
        <v>0.99448529411764697</v>
      </c>
    </row>
    <row r="3839" spans="9:10" x14ac:dyDescent="0.3">
      <c r="I3839" s="72">
        <v>1918.5</v>
      </c>
      <c r="J3839" s="70">
        <v>0.99448529411764697</v>
      </c>
    </row>
    <row r="3840" spans="9:10" x14ac:dyDescent="0.3">
      <c r="I3840" s="72">
        <v>1919</v>
      </c>
      <c r="J3840" s="70">
        <v>0.99448529411764697</v>
      </c>
    </row>
    <row r="3841" spans="9:10" x14ac:dyDescent="0.3">
      <c r="I3841" s="72">
        <v>1919.5</v>
      </c>
      <c r="J3841" s="70">
        <v>0.99448529411764697</v>
      </c>
    </row>
    <row r="3842" spans="9:10" x14ac:dyDescent="0.3">
      <c r="I3842" s="72">
        <v>1920</v>
      </c>
      <c r="J3842" s="70">
        <v>0.99448529411764697</v>
      </c>
    </row>
    <row r="3843" spans="9:10" x14ac:dyDescent="0.3">
      <c r="I3843" s="72">
        <v>1920.5</v>
      </c>
      <c r="J3843" s="70">
        <v>0.99448529411764697</v>
      </c>
    </row>
    <row r="3844" spans="9:10" x14ac:dyDescent="0.3">
      <c r="I3844" s="72">
        <v>1921</v>
      </c>
      <c r="J3844" s="70">
        <v>0.99448529411764697</v>
      </c>
    </row>
    <row r="3845" spans="9:10" x14ac:dyDescent="0.3">
      <c r="I3845" s="72">
        <v>1921.5</v>
      </c>
      <c r="J3845" s="70">
        <v>0.99448529411764697</v>
      </c>
    </row>
    <row r="3846" spans="9:10" x14ac:dyDescent="0.3">
      <c r="I3846" s="72">
        <v>1922</v>
      </c>
      <c r="J3846" s="70">
        <v>0.99448529411764697</v>
      </c>
    </row>
    <row r="3847" spans="9:10" x14ac:dyDescent="0.3">
      <c r="I3847" s="72">
        <v>1922.5</v>
      </c>
      <c r="J3847" s="70">
        <v>0.99448529411764697</v>
      </c>
    </row>
    <row r="3848" spans="9:10" x14ac:dyDescent="0.3">
      <c r="I3848" s="72">
        <v>1923</v>
      </c>
      <c r="J3848" s="70">
        <v>0.99448529411764697</v>
      </c>
    </row>
    <row r="3849" spans="9:10" x14ac:dyDescent="0.3">
      <c r="I3849" s="72">
        <v>1923.5</v>
      </c>
      <c r="J3849" s="70">
        <v>0.99448529411764697</v>
      </c>
    </row>
    <row r="3850" spans="9:10" x14ac:dyDescent="0.3">
      <c r="I3850" s="72">
        <v>1924</v>
      </c>
      <c r="J3850" s="70">
        <v>0.99448529411764697</v>
      </c>
    </row>
    <row r="3851" spans="9:10" x14ac:dyDescent="0.3">
      <c r="I3851" s="72">
        <v>1924.5</v>
      </c>
      <c r="J3851" s="70">
        <v>0.99448529411764697</v>
      </c>
    </row>
    <row r="3852" spans="9:10" x14ac:dyDescent="0.3">
      <c r="I3852" s="72">
        <v>1925</v>
      </c>
      <c r="J3852" s="70">
        <v>0.99448529411764697</v>
      </c>
    </row>
    <row r="3853" spans="9:10" x14ac:dyDescent="0.3">
      <c r="I3853" s="72">
        <v>1925.5</v>
      </c>
      <c r="J3853" s="70">
        <v>0.99448529411764697</v>
      </c>
    </row>
    <row r="3854" spans="9:10" x14ac:dyDescent="0.3">
      <c r="I3854" s="72">
        <v>1926</v>
      </c>
      <c r="J3854" s="70">
        <v>0.99448529411764697</v>
      </c>
    </row>
    <row r="3855" spans="9:10" x14ac:dyDescent="0.3">
      <c r="I3855" s="72">
        <v>1926.5</v>
      </c>
      <c r="J3855" s="70">
        <v>0.99448529411764697</v>
      </c>
    </row>
    <row r="3856" spans="9:10" x14ac:dyDescent="0.3">
      <c r="I3856" s="72">
        <v>1927</v>
      </c>
      <c r="J3856" s="70">
        <v>0.99448529411764697</v>
      </c>
    </row>
    <row r="3857" spans="9:10" x14ac:dyDescent="0.3">
      <c r="I3857" s="72">
        <v>1927.5</v>
      </c>
      <c r="J3857" s="70">
        <v>0.99448529411764697</v>
      </c>
    </row>
    <row r="3858" spans="9:10" x14ac:dyDescent="0.3">
      <c r="I3858" s="72">
        <v>1928</v>
      </c>
      <c r="J3858" s="70">
        <v>0.99448529411764697</v>
      </c>
    </row>
    <row r="3859" spans="9:10" x14ac:dyDescent="0.3">
      <c r="I3859" s="72">
        <v>1928.5</v>
      </c>
      <c r="J3859" s="70">
        <v>0.99448529411764697</v>
      </c>
    </row>
    <row r="3860" spans="9:10" x14ac:dyDescent="0.3">
      <c r="I3860" s="72">
        <v>1929</v>
      </c>
      <c r="J3860" s="70">
        <v>0.99448529411764697</v>
      </c>
    </row>
    <row r="3861" spans="9:10" x14ac:dyDescent="0.3">
      <c r="I3861" s="72">
        <v>1929.5</v>
      </c>
      <c r="J3861" s="70">
        <v>0.99448529411764697</v>
      </c>
    </row>
    <row r="3862" spans="9:10" x14ac:dyDescent="0.3">
      <c r="I3862" s="72">
        <v>1930</v>
      </c>
      <c r="J3862" s="70">
        <v>0.99448529411764697</v>
      </c>
    </row>
    <row r="3863" spans="9:10" x14ac:dyDescent="0.3">
      <c r="I3863" s="72">
        <v>1930.5</v>
      </c>
      <c r="J3863" s="70">
        <v>0.99448529411764697</v>
      </c>
    </row>
    <row r="3864" spans="9:10" x14ac:dyDescent="0.3">
      <c r="I3864" s="72">
        <v>1931</v>
      </c>
      <c r="J3864" s="70">
        <v>0.99448529411764697</v>
      </c>
    </row>
    <row r="3865" spans="9:10" x14ac:dyDescent="0.3">
      <c r="I3865" s="72">
        <v>1931.5</v>
      </c>
      <c r="J3865" s="70">
        <v>0.99448529411764697</v>
      </c>
    </row>
    <row r="3866" spans="9:10" x14ac:dyDescent="0.3">
      <c r="I3866" s="72">
        <v>1932</v>
      </c>
      <c r="J3866" s="70">
        <v>0.99448529411764697</v>
      </c>
    </row>
    <row r="3867" spans="9:10" x14ac:dyDescent="0.3">
      <c r="I3867" s="72">
        <v>1932.5</v>
      </c>
      <c r="J3867" s="70">
        <v>0.99448529411764697</v>
      </c>
    </row>
    <row r="3868" spans="9:10" x14ac:dyDescent="0.3">
      <c r="I3868" s="72">
        <v>1933</v>
      </c>
      <c r="J3868" s="70">
        <v>0.99448529411764697</v>
      </c>
    </row>
    <row r="3869" spans="9:10" x14ac:dyDescent="0.3">
      <c r="I3869" s="72">
        <v>1933.5</v>
      </c>
      <c r="J3869" s="70">
        <v>0.99448529411764697</v>
      </c>
    </row>
    <row r="3870" spans="9:10" x14ac:dyDescent="0.3">
      <c r="I3870" s="72">
        <v>1934</v>
      </c>
      <c r="J3870" s="70">
        <v>0.99448529411764697</v>
      </c>
    </row>
    <row r="3871" spans="9:10" x14ac:dyDescent="0.3">
      <c r="I3871" s="72">
        <v>1934.5</v>
      </c>
      <c r="J3871" s="70">
        <v>0.99448529411764697</v>
      </c>
    </row>
    <row r="3872" spans="9:10" x14ac:dyDescent="0.3">
      <c r="I3872" s="72">
        <v>1935</v>
      </c>
      <c r="J3872" s="70">
        <v>0.99448529411764697</v>
      </c>
    </row>
    <row r="3873" spans="9:10" x14ac:dyDescent="0.3">
      <c r="I3873" s="72">
        <v>1935.5</v>
      </c>
      <c r="J3873" s="70">
        <v>0.99448529411764697</v>
      </c>
    </row>
    <row r="3874" spans="9:10" x14ac:dyDescent="0.3">
      <c r="I3874" s="72">
        <v>1936</v>
      </c>
      <c r="J3874" s="70">
        <v>0.99448529411764697</v>
      </c>
    </row>
    <row r="3875" spans="9:10" x14ac:dyDescent="0.3">
      <c r="I3875" s="72">
        <v>1936.5</v>
      </c>
      <c r="J3875" s="70">
        <v>0.99448529411764697</v>
      </c>
    </row>
    <row r="3876" spans="9:10" x14ac:dyDescent="0.3">
      <c r="I3876" s="72">
        <v>1937</v>
      </c>
      <c r="J3876" s="70">
        <v>0.99448529411764697</v>
      </c>
    </row>
    <row r="3877" spans="9:10" x14ac:dyDescent="0.3">
      <c r="I3877" s="72">
        <v>1937.5</v>
      </c>
      <c r="J3877" s="70">
        <v>0.99448529411764697</v>
      </c>
    </row>
    <row r="3878" spans="9:10" x14ac:dyDescent="0.3">
      <c r="I3878" s="72">
        <v>1938</v>
      </c>
      <c r="J3878" s="70">
        <v>0.99448529411764697</v>
      </c>
    </row>
    <row r="3879" spans="9:10" x14ac:dyDescent="0.3">
      <c r="I3879" s="72">
        <v>1938.5</v>
      </c>
      <c r="J3879" s="70">
        <v>0.99448529411764697</v>
      </c>
    </row>
    <row r="3880" spans="9:10" x14ac:dyDescent="0.3">
      <c r="I3880" s="72">
        <v>1939</v>
      </c>
      <c r="J3880" s="70">
        <v>0.99448529411764697</v>
      </c>
    </row>
    <row r="3881" spans="9:10" x14ac:dyDescent="0.3">
      <c r="I3881" s="72">
        <v>1939.5</v>
      </c>
      <c r="J3881" s="70">
        <v>0.99448529411764697</v>
      </c>
    </row>
    <row r="3882" spans="9:10" x14ac:dyDescent="0.3">
      <c r="I3882" s="72">
        <v>1940</v>
      </c>
      <c r="J3882" s="70">
        <v>0.99448529411764697</v>
      </c>
    </row>
    <row r="3883" spans="9:10" x14ac:dyDescent="0.3">
      <c r="I3883" s="72">
        <v>1940.5</v>
      </c>
      <c r="J3883" s="70">
        <v>0.99448529411764697</v>
      </c>
    </row>
    <row r="3884" spans="9:10" x14ac:dyDescent="0.3">
      <c r="I3884" s="72">
        <v>1941</v>
      </c>
      <c r="J3884" s="70">
        <v>0.99448529411764697</v>
      </c>
    </row>
    <row r="3885" spans="9:10" x14ac:dyDescent="0.3">
      <c r="I3885" s="72">
        <v>1941.5</v>
      </c>
      <c r="J3885" s="70">
        <v>0.99448529411764697</v>
      </c>
    </row>
    <row r="3886" spans="9:10" x14ac:dyDescent="0.3">
      <c r="I3886" s="72">
        <v>1942</v>
      </c>
      <c r="J3886" s="70">
        <v>0.99448529411764697</v>
      </c>
    </row>
    <row r="3887" spans="9:10" x14ac:dyDescent="0.3">
      <c r="I3887" s="72">
        <v>1942.5</v>
      </c>
      <c r="J3887" s="70">
        <v>0.99448529411764697</v>
      </c>
    </row>
    <row r="3888" spans="9:10" x14ac:dyDescent="0.3">
      <c r="I3888" s="72">
        <v>1943</v>
      </c>
      <c r="J3888" s="70">
        <v>0.99448529411764697</v>
      </c>
    </row>
    <row r="3889" spans="9:10" x14ac:dyDescent="0.3">
      <c r="I3889" s="72">
        <v>1943.5</v>
      </c>
      <c r="J3889" s="70">
        <v>0.99448529411764697</v>
      </c>
    </row>
    <row r="3890" spans="9:10" x14ac:dyDescent="0.3">
      <c r="I3890" s="72">
        <v>1944</v>
      </c>
      <c r="J3890" s="70">
        <v>0.99448529411764697</v>
      </c>
    </row>
    <row r="3891" spans="9:10" x14ac:dyDescent="0.3">
      <c r="I3891" s="72">
        <v>1944.5</v>
      </c>
      <c r="J3891" s="70">
        <v>0.99448529411764697</v>
      </c>
    </row>
    <row r="3892" spans="9:10" x14ac:dyDescent="0.3">
      <c r="I3892" s="72">
        <v>1945</v>
      </c>
      <c r="J3892" s="70">
        <v>0.99448529411764697</v>
      </c>
    </row>
    <row r="3893" spans="9:10" x14ac:dyDescent="0.3">
      <c r="I3893" s="72">
        <v>1945.5</v>
      </c>
      <c r="J3893" s="70">
        <v>0.99448529411764697</v>
      </c>
    </row>
    <row r="3894" spans="9:10" x14ac:dyDescent="0.3">
      <c r="I3894" s="72">
        <v>1946</v>
      </c>
      <c r="J3894" s="70">
        <v>0.99448529411764697</v>
      </c>
    </row>
    <row r="3895" spans="9:10" x14ac:dyDescent="0.3">
      <c r="I3895" s="72">
        <v>1946.5</v>
      </c>
      <c r="J3895" s="70">
        <v>0.99448529411764697</v>
      </c>
    </row>
    <row r="3896" spans="9:10" x14ac:dyDescent="0.3">
      <c r="I3896" s="72">
        <v>1947</v>
      </c>
      <c r="J3896" s="70">
        <v>0.99448529411764697</v>
      </c>
    </row>
    <row r="3897" spans="9:10" x14ac:dyDescent="0.3">
      <c r="I3897" s="72">
        <v>1947.5</v>
      </c>
      <c r="J3897" s="70">
        <v>0.99448529411764697</v>
      </c>
    </row>
    <row r="3898" spans="9:10" x14ac:dyDescent="0.3">
      <c r="I3898" s="72">
        <v>1948</v>
      </c>
      <c r="J3898" s="70">
        <v>0.99448529411764697</v>
      </c>
    </row>
    <row r="3899" spans="9:10" x14ac:dyDescent="0.3">
      <c r="I3899" s="72">
        <v>1948.5</v>
      </c>
      <c r="J3899" s="70">
        <v>0.99448529411764697</v>
      </c>
    </row>
    <row r="3900" spans="9:10" x14ac:dyDescent="0.3">
      <c r="I3900" s="72">
        <v>1949</v>
      </c>
      <c r="J3900" s="70">
        <v>0.99448529411764697</v>
      </c>
    </row>
    <row r="3901" spans="9:10" x14ac:dyDescent="0.3">
      <c r="I3901" s="72">
        <v>1949.5</v>
      </c>
      <c r="J3901" s="70">
        <v>0.99448529411764697</v>
      </c>
    </row>
    <row r="3902" spans="9:10" x14ac:dyDescent="0.3">
      <c r="I3902" s="72">
        <v>1950</v>
      </c>
      <c r="J3902" s="70">
        <v>0.99448529411764697</v>
      </c>
    </row>
    <row r="3903" spans="9:10" x14ac:dyDescent="0.3">
      <c r="I3903" s="72">
        <v>1950.5</v>
      </c>
      <c r="J3903" s="70">
        <v>0.99448529411764697</v>
      </c>
    </row>
    <row r="3904" spans="9:10" x14ac:dyDescent="0.3">
      <c r="I3904" s="72">
        <v>1951</v>
      </c>
      <c r="J3904" s="70">
        <v>0.99448529411764697</v>
      </c>
    </row>
    <row r="3905" spans="9:10" x14ac:dyDescent="0.3">
      <c r="I3905" s="72">
        <v>1951.5</v>
      </c>
      <c r="J3905" s="70">
        <v>0.99448529411764697</v>
      </c>
    </row>
    <row r="3906" spans="9:10" x14ac:dyDescent="0.3">
      <c r="I3906" s="72">
        <v>1952</v>
      </c>
      <c r="J3906" s="70">
        <v>0.99448529411764697</v>
      </c>
    </row>
    <row r="3907" spans="9:10" x14ac:dyDescent="0.3">
      <c r="I3907" s="72">
        <v>1952.5</v>
      </c>
      <c r="J3907" s="70">
        <v>0.99448529411764697</v>
      </c>
    </row>
    <row r="3908" spans="9:10" x14ac:dyDescent="0.3">
      <c r="I3908" s="72">
        <v>1953</v>
      </c>
      <c r="J3908" s="70">
        <v>0.99448529411764697</v>
      </c>
    </row>
    <row r="3909" spans="9:10" x14ac:dyDescent="0.3">
      <c r="I3909" s="72">
        <v>1953.5</v>
      </c>
      <c r="J3909" s="70">
        <v>0.99448529411764697</v>
      </c>
    </row>
    <row r="3910" spans="9:10" x14ac:dyDescent="0.3">
      <c r="I3910" s="72">
        <v>1954</v>
      </c>
      <c r="J3910" s="70">
        <v>0.99448529411764697</v>
      </c>
    </row>
    <row r="3911" spans="9:10" x14ac:dyDescent="0.3">
      <c r="I3911" s="72">
        <v>1954.5</v>
      </c>
      <c r="J3911" s="70">
        <v>0.99448529411764697</v>
      </c>
    </row>
    <row r="3912" spans="9:10" x14ac:dyDescent="0.3">
      <c r="I3912" s="72">
        <v>1955</v>
      </c>
      <c r="J3912" s="70">
        <v>0.99448529411764697</v>
      </c>
    </row>
    <row r="3913" spans="9:10" x14ac:dyDescent="0.3">
      <c r="I3913" s="72">
        <v>1955.5</v>
      </c>
      <c r="J3913" s="70">
        <v>0.99448529411764697</v>
      </c>
    </row>
    <row r="3914" spans="9:10" x14ac:dyDescent="0.3">
      <c r="I3914" s="72">
        <v>1956</v>
      </c>
      <c r="J3914" s="70">
        <v>0.99448529411764697</v>
      </c>
    </row>
    <row r="3915" spans="9:10" x14ac:dyDescent="0.3">
      <c r="I3915" s="72">
        <v>1956.5</v>
      </c>
      <c r="J3915" s="70">
        <v>0.99448529411764697</v>
      </c>
    </row>
    <row r="3916" spans="9:10" x14ac:dyDescent="0.3">
      <c r="I3916" s="72">
        <v>1957</v>
      </c>
      <c r="J3916" s="70">
        <v>0.99448529411764697</v>
      </c>
    </row>
    <row r="3917" spans="9:10" x14ac:dyDescent="0.3">
      <c r="I3917" s="72">
        <v>1957.5</v>
      </c>
      <c r="J3917" s="70">
        <v>0.99448529411764697</v>
      </c>
    </row>
    <row r="3918" spans="9:10" x14ac:dyDescent="0.3">
      <c r="I3918" s="72">
        <v>1958</v>
      </c>
      <c r="J3918" s="70">
        <v>0.99448529411764697</v>
      </c>
    </row>
    <row r="3919" spans="9:10" x14ac:dyDescent="0.3">
      <c r="I3919" s="72">
        <v>1958.5</v>
      </c>
      <c r="J3919" s="70">
        <v>0.99448529411764697</v>
      </c>
    </row>
    <row r="3920" spans="9:10" x14ac:dyDescent="0.3">
      <c r="I3920" s="72">
        <v>1959</v>
      </c>
      <c r="J3920" s="70">
        <v>0.99448529411764697</v>
      </c>
    </row>
    <row r="3921" spans="9:10" x14ac:dyDescent="0.3">
      <c r="I3921" s="72">
        <v>1959.5</v>
      </c>
      <c r="J3921" s="70">
        <v>0.99448529411764697</v>
      </c>
    </row>
    <row r="3922" spans="9:10" x14ac:dyDescent="0.3">
      <c r="I3922" s="72">
        <v>1960</v>
      </c>
      <c r="J3922" s="70">
        <v>0.99448529411764697</v>
      </c>
    </row>
    <row r="3923" spans="9:10" x14ac:dyDescent="0.3">
      <c r="I3923" s="72">
        <v>1960.5</v>
      </c>
      <c r="J3923" s="70">
        <v>0.99448529411764697</v>
      </c>
    </row>
    <row r="3924" spans="9:10" x14ac:dyDescent="0.3">
      <c r="I3924" s="72">
        <v>1961</v>
      </c>
      <c r="J3924" s="70">
        <v>0.99448529411764697</v>
      </c>
    </row>
    <row r="3925" spans="9:10" x14ac:dyDescent="0.3">
      <c r="I3925" s="72">
        <v>1961.5</v>
      </c>
      <c r="J3925" s="70">
        <v>0.99448529411764697</v>
      </c>
    </row>
    <row r="3926" spans="9:10" x14ac:dyDescent="0.3">
      <c r="I3926" s="72">
        <v>1962</v>
      </c>
      <c r="J3926" s="70">
        <v>0.99448529411764697</v>
      </c>
    </row>
    <row r="3927" spans="9:10" x14ac:dyDescent="0.3">
      <c r="I3927" s="72">
        <v>1962.5</v>
      </c>
      <c r="J3927" s="70">
        <v>0.99448529411764697</v>
      </c>
    </row>
    <row r="3928" spans="9:10" x14ac:dyDescent="0.3">
      <c r="I3928" s="72">
        <v>1963</v>
      </c>
      <c r="J3928" s="70">
        <v>0.99448529411764697</v>
      </c>
    </row>
    <row r="3929" spans="9:10" x14ac:dyDescent="0.3">
      <c r="I3929" s="72">
        <v>1963.5</v>
      </c>
      <c r="J3929" s="70">
        <v>0.99448529411764697</v>
      </c>
    </row>
    <row r="3930" spans="9:10" x14ac:dyDescent="0.3">
      <c r="I3930" s="72">
        <v>1964</v>
      </c>
      <c r="J3930" s="70">
        <v>0.99448529411764697</v>
      </c>
    </row>
    <row r="3931" spans="9:10" x14ac:dyDescent="0.3">
      <c r="I3931" s="72">
        <v>1964.5</v>
      </c>
      <c r="J3931" s="70">
        <v>0.99448529411764697</v>
      </c>
    </row>
    <row r="3932" spans="9:10" x14ac:dyDescent="0.3">
      <c r="I3932" s="72">
        <v>1965</v>
      </c>
      <c r="J3932" s="70">
        <v>0.99448529411764697</v>
      </c>
    </row>
    <row r="3933" spans="9:10" x14ac:dyDescent="0.3">
      <c r="I3933" s="72">
        <v>1965.5</v>
      </c>
      <c r="J3933" s="70">
        <v>0.99632352941176472</v>
      </c>
    </row>
    <row r="3934" spans="9:10" x14ac:dyDescent="0.3">
      <c r="I3934" s="72">
        <v>1966</v>
      </c>
      <c r="J3934" s="70">
        <v>0.99632352941176472</v>
      </c>
    </row>
    <row r="3935" spans="9:10" x14ac:dyDescent="0.3">
      <c r="I3935" s="72">
        <v>1966.5</v>
      </c>
      <c r="J3935" s="70">
        <v>0.99632352941176472</v>
      </c>
    </row>
    <row r="3936" spans="9:10" x14ac:dyDescent="0.3">
      <c r="I3936" s="72">
        <v>1967</v>
      </c>
      <c r="J3936" s="70">
        <v>0.99632352941176472</v>
      </c>
    </row>
    <row r="3937" spans="9:10" x14ac:dyDescent="0.3">
      <c r="I3937" s="72">
        <v>1967.5</v>
      </c>
      <c r="J3937" s="70">
        <v>0.99632352941176472</v>
      </c>
    </row>
    <row r="3938" spans="9:10" x14ac:dyDescent="0.3">
      <c r="I3938" s="72">
        <v>1968</v>
      </c>
      <c r="J3938" s="70">
        <v>0.99632352941176472</v>
      </c>
    </row>
    <row r="3939" spans="9:10" x14ac:dyDescent="0.3">
      <c r="I3939" s="72">
        <v>1968.5</v>
      </c>
      <c r="J3939" s="70">
        <v>0.99632352941176472</v>
      </c>
    </row>
    <row r="3940" spans="9:10" x14ac:dyDescent="0.3">
      <c r="I3940" s="72">
        <v>1969</v>
      </c>
      <c r="J3940" s="70">
        <v>0.99632352941176472</v>
      </c>
    </row>
    <row r="3941" spans="9:10" x14ac:dyDescent="0.3">
      <c r="I3941" s="72">
        <v>1969.5</v>
      </c>
      <c r="J3941" s="70">
        <v>0.99632352941176472</v>
      </c>
    </row>
    <row r="3942" spans="9:10" x14ac:dyDescent="0.3">
      <c r="I3942" s="72">
        <v>1970</v>
      </c>
      <c r="J3942" s="70">
        <v>0.99632352941176472</v>
      </c>
    </row>
    <row r="3943" spans="9:10" x14ac:dyDescent="0.3">
      <c r="I3943" s="72">
        <v>1970.5</v>
      </c>
      <c r="J3943" s="70">
        <v>0.99632352941176472</v>
      </c>
    </row>
    <row r="3944" spans="9:10" x14ac:dyDescent="0.3">
      <c r="I3944" s="72">
        <v>1971</v>
      </c>
      <c r="J3944" s="70">
        <v>0.99632352941176472</v>
      </c>
    </row>
    <row r="3945" spans="9:10" x14ac:dyDescent="0.3">
      <c r="I3945" s="72">
        <v>1971.5</v>
      </c>
      <c r="J3945" s="70">
        <v>0.99632352941176472</v>
      </c>
    </row>
    <row r="3946" spans="9:10" x14ac:dyDescent="0.3">
      <c r="I3946" s="72">
        <v>1972</v>
      </c>
      <c r="J3946" s="70">
        <v>0.99632352941176472</v>
      </c>
    </row>
    <row r="3947" spans="9:10" x14ac:dyDescent="0.3">
      <c r="I3947" s="72">
        <v>1972.5</v>
      </c>
      <c r="J3947" s="70">
        <v>0.99632352941176472</v>
      </c>
    </row>
    <row r="3948" spans="9:10" x14ac:dyDescent="0.3">
      <c r="I3948" s="72">
        <v>1973</v>
      </c>
      <c r="J3948" s="70">
        <v>0.99632352941176472</v>
      </c>
    </row>
    <row r="3949" spans="9:10" x14ac:dyDescent="0.3">
      <c r="I3949" s="72">
        <v>1973.5</v>
      </c>
      <c r="J3949" s="70">
        <v>0.99632352941176472</v>
      </c>
    </row>
    <row r="3950" spans="9:10" x14ac:dyDescent="0.3">
      <c r="I3950" s="72">
        <v>1974</v>
      </c>
      <c r="J3950" s="70">
        <v>0.99632352941176472</v>
      </c>
    </row>
    <row r="3951" spans="9:10" x14ac:dyDescent="0.3">
      <c r="I3951" s="72">
        <v>1974.5</v>
      </c>
      <c r="J3951" s="70">
        <v>0.99632352941176472</v>
      </c>
    </row>
    <row r="3952" spans="9:10" x14ac:dyDescent="0.3">
      <c r="I3952" s="72">
        <v>1975</v>
      </c>
      <c r="J3952" s="70">
        <v>0.99632352941176472</v>
      </c>
    </row>
    <row r="3953" spans="9:10" x14ac:dyDescent="0.3">
      <c r="I3953" s="72">
        <v>1975.5</v>
      </c>
      <c r="J3953" s="70">
        <v>0.99632352941176472</v>
      </c>
    </row>
    <row r="3954" spans="9:10" x14ac:dyDescent="0.3">
      <c r="I3954" s="72">
        <v>1976</v>
      </c>
      <c r="J3954" s="70">
        <v>0.99632352941176472</v>
      </c>
    </row>
    <row r="3955" spans="9:10" x14ac:dyDescent="0.3">
      <c r="I3955" s="72">
        <v>1976.5</v>
      </c>
      <c r="J3955" s="70">
        <v>0.99632352941176472</v>
      </c>
    </row>
    <row r="3956" spans="9:10" x14ac:dyDescent="0.3">
      <c r="I3956" s="72">
        <v>1977</v>
      </c>
      <c r="J3956" s="70">
        <v>0.99632352941176472</v>
      </c>
    </row>
    <row r="3957" spans="9:10" x14ac:dyDescent="0.3">
      <c r="I3957" s="72">
        <v>1977.5</v>
      </c>
      <c r="J3957" s="70">
        <v>0.99632352941176472</v>
      </c>
    </row>
    <row r="3958" spans="9:10" x14ac:dyDescent="0.3">
      <c r="I3958" s="72">
        <v>1978</v>
      </c>
      <c r="J3958" s="70">
        <v>0.99632352941176472</v>
      </c>
    </row>
    <row r="3959" spans="9:10" x14ac:dyDescent="0.3">
      <c r="I3959" s="72">
        <v>1978.5</v>
      </c>
      <c r="J3959" s="70">
        <v>0.99632352941176472</v>
      </c>
    </row>
    <row r="3960" spans="9:10" x14ac:dyDescent="0.3">
      <c r="I3960" s="72">
        <v>1979</v>
      </c>
      <c r="J3960" s="70">
        <v>0.99632352941176472</v>
      </c>
    </row>
    <row r="3961" spans="9:10" x14ac:dyDescent="0.3">
      <c r="I3961" s="72">
        <v>1979.5</v>
      </c>
      <c r="J3961" s="70">
        <v>0.99632352941176472</v>
      </c>
    </row>
    <row r="3962" spans="9:10" x14ac:dyDescent="0.3">
      <c r="I3962" s="72">
        <v>1980</v>
      </c>
      <c r="J3962" s="70">
        <v>0.99632352941176472</v>
      </c>
    </row>
    <row r="3963" spans="9:10" x14ac:dyDescent="0.3">
      <c r="I3963" s="72">
        <v>1980.5</v>
      </c>
      <c r="J3963" s="70">
        <v>0.99632352941176472</v>
      </c>
    </row>
    <row r="3964" spans="9:10" x14ac:dyDescent="0.3">
      <c r="I3964" s="72">
        <v>1981</v>
      </c>
      <c r="J3964" s="70">
        <v>0.99632352941176472</v>
      </c>
    </row>
    <row r="3965" spans="9:10" x14ac:dyDescent="0.3">
      <c r="I3965" s="72">
        <v>1981.5</v>
      </c>
      <c r="J3965" s="70">
        <v>0.99632352941176472</v>
      </c>
    </row>
    <row r="3966" spans="9:10" x14ac:dyDescent="0.3">
      <c r="I3966" s="72">
        <v>1982</v>
      </c>
      <c r="J3966" s="70">
        <v>0.99632352941176472</v>
      </c>
    </row>
    <row r="3967" spans="9:10" x14ac:dyDescent="0.3">
      <c r="I3967" s="72">
        <v>1982.5</v>
      </c>
      <c r="J3967" s="70">
        <v>0.99632352941176472</v>
      </c>
    </row>
    <row r="3968" spans="9:10" x14ac:dyDescent="0.3">
      <c r="I3968" s="72">
        <v>1983</v>
      </c>
      <c r="J3968" s="70">
        <v>0.99632352941176472</v>
      </c>
    </row>
    <row r="3969" spans="9:10" x14ac:dyDescent="0.3">
      <c r="I3969" s="72">
        <v>1983.5</v>
      </c>
      <c r="J3969" s="70">
        <v>0.99632352941176472</v>
      </c>
    </row>
    <row r="3970" spans="9:10" x14ac:dyDescent="0.3">
      <c r="I3970" s="72">
        <v>1984</v>
      </c>
      <c r="J3970" s="70">
        <v>0.99632352941176472</v>
      </c>
    </row>
    <row r="3971" spans="9:10" x14ac:dyDescent="0.3">
      <c r="I3971" s="72">
        <v>1984.5</v>
      </c>
      <c r="J3971" s="70">
        <v>0.99632352941176472</v>
      </c>
    </row>
    <row r="3972" spans="9:10" x14ac:dyDescent="0.3">
      <c r="I3972" s="72">
        <v>1985</v>
      </c>
      <c r="J3972" s="70">
        <v>0.99632352941176472</v>
      </c>
    </row>
    <row r="3973" spans="9:10" x14ac:dyDescent="0.3">
      <c r="I3973" s="72">
        <v>1985.5</v>
      </c>
      <c r="J3973" s="70">
        <v>0.99632352941176472</v>
      </c>
    </row>
    <row r="3974" spans="9:10" x14ac:dyDescent="0.3">
      <c r="I3974" s="72">
        <v>1986</v>
      </c>
      <c r="J3974" s="70">
        <v>0.99632352941176472</v>
      </c>
    </row>
    <row r="3975" spans="9:10" x14ac:dyDescent="0.3">
      <c r="I3975" s="72">
        <v>1986.5</v>
      </c>
      <c r="J3975" s="70">
        <v>0.99632352941176472</v>
      </c>
    </row>
    <row r="3976" spans="9:10" x14ac:dyDescent="0.3">
      <c r="I3976" s="72">
        <v>1987</v>
      </c>
      <c r="J3976" s="70">
        <v>0.99632352941176472</v>
      </c>
    </row>
    <row r="3977" spans="9:10" x14ac:dyDescent="0.3">
      <c r="I3977" s="72">
        <v>1987.5</v>
      </c>
      <c r="J3977" s="70">
        <v>0.99632352941176472</v>
      </c>
    </row>
    <row r="3978" spans="9:10" x14ac:dyDescent="0.3">
      <c r="I3978" s="72">
        <v>1988</v>
      </c>
      <c r="J3978" s="70">
        <v>0.99632352941176472</v>
      </c>
    </row>
    <row r="3979" spans="9:10" x14ac:dyDescent="0.3">
      <c r="I3979" s="72">
        <v>1988.5</v>
      </c>
      <c r="J3979" s="70">
        <v>0.99632352941176472</v>
      </c>
    </row>
    <row r="3980" spans="9:10" x14ac:dyDescent="0.3">
      <c r="I3980" s="72">
        <v>1989</v>
      </c>
      <c r="J3980" s="70">
        <v>0.99632352941176472</v>
      </c>
    </row>
    <row r="3981" spans="9:10" x14ac:dyDescent="0.3">
      <c r="I3981" s="72">
        <v>1989.5</v>
      </c>
      <c r="J3981" s="70">
        <v>0.99632352941176472</v>
      </c>
    </row>
    <row r="3982" spans="9:10" x14ac:dyDescent="0.3">
      <c r="I3982" s="72">
        <v>1990</v>
      </c>
      <c r="J3982" s="70">
        <v>0.99632352941176472</v>
      </c>
    </row>
    <row r="3983" spans="9:10" x14ac:dyDescent="0.3">
      <c r="I3983" s="72">
        <v>1990.5</v>
      </c>
      <c r="J3983" s="70">
        <v>0.99632352941176472</v>
      </c>
    </row>
    <row r="3984" spans="9:10" x14ac:dyDescent="0.3">
      <c r="I3984" s="72">
        <v>1991</v>
      </c>
      <c r="J3984" s="70">
        <v>0.99632352941176472</v>
      </c>
    </row>
    <row r="3985" spans="9:10" x14ac:dyDescent="0.3">
      <c r="I3985" s="72">
        <v>1991.5</v>
      </c>
      <c r="J3985" s="70">
        <v>0.99632352941176472</v>
      </c>
    </row>
    <row r="3986" spans="9:10" x14ac:dyDescent="0.3">
      <c r="I3986" s="72">
        <v>1992</v>
      </c>
      <c r="J3986" s="70">
        <v>0.99632352941176472</v>
      </c>
    </row>
    <row r="3987" spans="9:10" x14ac:dyDescent="0.3">
      <c r="I3987" s="72">
        <v>1992.5</v>
      </c>
      <c r="J3987" s="70">
        <v>0.99632352941176472</v>
      </c>
    </row>
    <row r="3988" spans="9:10" x14ac:dyDescent="0.3">
      <c r="I3988" s="72">
        <v>1993</v>
      </c>
      <c r="J3988" s="70">
        <v>0.99632352941176472</v>
      </c>
    </row>
    <row r="3989" spans="9:10" x14ac:dyDescent="0.3">
      <c r="I3989" s="72">
        <v>1993.5</v>
      </c>
      <c r="J3989" s="70">
        <v>0.99632352941176472</v>
      </c>
    </row>
    <row r="3990" spans="9:10" x14ac:dyDescent="0.3">
      <c r="I3990" s="72">
        <v>1994</v>
      </c>
      <c r="J3990" s="70">
        <v>0.99632352941176472</v>
      </c>
    </row>
    <row r="3991" spans="9:10" x14ac:dyDescent="0.3">
      <c r="I3991" s="72">
        <v>1994.5</v>
      </c>
      <c r="J3991" s="70">
        <v>0.99632352941176472</v>
      </c>
    </row>
    <row r="3992" spans="9:10" x14ac:dyDescent="0.3">
      <c r="I3992" s="72">
        <v>1995</v>
      </c>
      <c r="J3992" s="70">
        <v>0.99632352941176472</v>
      </c>
    </row>
    <row r="3993" spans="9:10" x14ac:dyDescent="0.3">
      <c r="I3993" s="72">
        <v>1995.5</v>
      </c>
      <c r="J3993" s="70">
        <v>0.99632352941176472</v>
      </c>
    </row>
    <row r="3994" spans="9:10" x14ac:dyDescent="0.3">
      <c r="I3994" s="72">
        <v>1996</v>
      </c>
      <c r="J3994" s="70">
        <v>0.99632352941176472</v>
      </c>
    </row>
    <row r="3995" spans="9:10" x14ac:dyDescent="0.3">
      <c r="I3995" s="72">
        <v>1996.5</v>
      </c>
      <c r="J3995" s="70">
        <v>0.99632352941176472</v>
      </c>
    </row>
    <row r="3996" spans="9:10" x14ac:dyDescent="0.3">
      <c r="I3996" s="72">
        <v>1997</v>
      </c>
      <c r="J3996" s="70">
        <v>0.99632352941176472</v>
      </c>
    </row>
    <row r="3997" spans="9:10" x14ac:dyDescent="0.3">
      <c r="I3997" s="72">
        <v>1997.5</v>
      </c>
      <c r="J3997" s="70">
        <v>0.99632352941176472</v>
      </c>
    </row>
    <row r="3998" spans="9:10" x14ac:dyDescent="0.3">
      <c r="I3998" s="72">
        <v>1998</v>
      </c>
      <c r="J3998" s="70">
        <v>0.99632352941176472</v>
      </c>
    </row>
    <row r="3999" spans="9:10" x14ac:dyDescent="0.3">
      <c r="I3999" s="72">
        <v>1998.5</v>
      </c>
      <c r="J3999" s="70">
        <v>0.99632352941176472</v>
      </c>
    </row>
    <row r="4000" spans="9:10" x14ac:dyDescent="0.3">
      <c r="I4000" s="72">
        <v>1999</v>
      </c>
      <c r="J4000" s="70">
        <v>0.99632352941176472</v>
      </c>
    </row>
    <row r="4001" spans="9:10" x14ac:dyDescent="0.3">
      <c r="I4001" s="72">
        <v>1999.5</v>
      </c>
      <c r="J4001" s="70">
        <v>0.99632352941176472</v>
      </c>
    </row>
    <row r="4002" spans="9:10" x14ac:dyDescent="0.3">
      <c r="I4002" s="72">
        <v>2000</v>
      </c>
      <c r="J4002" s="70">
        <v>0.99632352941176472</v>
      </c>
    </row>
    <row r="4003" spans="9:10" x14ac:dyDescent="0.3">
      <c r="I4003" s="72">
        <v>2000.5</v>
      </c>
      <c r="J4003" s="70">
        <v>0.99632352941176472</v>
      </c>
    </row>
    <row r="4004" spans="9:10" x14ac:dyDescent="0.3">
      <c r="I4004" s="72">
        <v>2001</v>
      </c>
      <c r="J4004" s="70">
        <v>0.99632352941176472</v>
      </c>
    </row>
    <row r="4005" spans="9:10" x14ac:dyDescent="0.3">
      <c r="I4005" s="72">
        <v>2001.5</v>
      </c>
      <c r="J4005" s="70">
        <v>0.99632352941176472</v>
      </c>
    </row>
    <row r="4006" spans="9:10" x14ac:dyDescent="0.3">
      <c r="I4006" s="72">
        <v>2002</v>
      </c>
      <c r="J4006" s="70">
        <v>0.99632352941176472</v>
      </c>
    </row>
    <row r="4007" spans="9:10" x14ac:dyDescent="0.3">
      <c r="I4007" s="72">
        <v>2002.5</v>
      </c>
      <c r="J4007" s="70">
        <v>0.99632352941176472</v>
      </c>
    </row>
    <row r="4008" spans="9:10" x14ac:dyDescent="0.3">
      <c r="I4008" s="72">
        <v>2003</v>
      </c>
      <c r="J4008" s="70">
        <v>0.99632352941176472</v>
      </c>
    </row>
    <row r="4009" spans="9:10" x14ac:dyDescent="0.3">
      <c r="I4009" s="72">
        <v>2003.5</v>
      </c>
      <c r="J4009" s="70">
        <v>0.99632352941176472</v>
      </c>
    </row>
    <row r="4010" spans="9:10" x14ac:dyDescent="0.3">
      <c r="I4010" s="72">
        <v>2004</v>
      </c>
      <c r="J4010" s="70">
        <v>0.99632352941176472</v>
      </c>
    </row>
    <row r="4011" spans="9:10" x14ac:dyDescent="0.3">
      <c r="I4011" s="72">
        <v>2004.5</v>
      </c>
      <c r="J4011" s="70">
        <v>0.99632352941176472</v>
      </c>
    </row>
    <row r="4012" spans="9:10" x14ac:dyDescent="0.3">
      <c r="I4012" s="72">
        <v>2005</v>
      </c>
      <c r="J4012" s="70">
        <v>0.99632352941176472</v>
      </c>
    </row>
    <row r="4013" spans="9:10" x14ac:dyDescent="0.3">
      <c r="I4013" s="72">
        <v>2005.5</v>
      </c>
      <c r="J4013" s="70">
        <v>0.99632352941176472</v>
      </c>
    </row>
    <row r="4014" spans="9:10" x14ac:dyDescent="0.3">
      <c r="I4014" s="72">
        <v>2006</v>
      </c>
      <c r="J4014" s="70">
        <v>0.99632352941176472</v>
      </c>
    </row>
    <row r="4015" spans="9:10" x14ac:dyDescent="0.3">
      <c r="I4015" s="72">
        <v>2006.5</v>
      </c>
      <c r="J4015" s="70">
        <v>0.99632352941176472</v>
      </c>
    </row>
    <row r="4016" spans="9:10" x14ac:dyDescent="0.3">
      <c r="I4016" s="72">
        <v>2007</v>
      </c>
      <c r="J4016" s="70">
        <v>0.99632352941176472</v>
      </c>
    </row>
    <row r="4017" spans="9:10" x14ac:dyDescent="0.3">
      <c r="I4017" s="72">
        <v>2007.5</v>
      </c>
      <c r="J4017" s="70">
        <v>0.99632352941176472</v>
      </c>
    </row>
    <row r="4018" spans="9:10" x14ac:dyDescent="0.3">
      <c r="I4018" s="72">
        <v>2008</v>
      </c>
      <c r="J4018" s="70">
        <v>0.99632352941176472</v>
      </c>
    </row>
    <row r="4019" spans="9:10" x14ac:dyDescent="0.3">
      <c r="I4019" s="72">
        <v>2008.5</v>
      </c>
      <c r="J4019" s="70">
        <v>0.99632352941176472</v>
      </c>
    </row>
    <row r="4020" spans="9:10" x14ac:dyDescent="0.3">
      <c r="I4020" s="72">
        <v>2009</v>
      </c>
      <c r="J4020" s="70">
        <v>0.99632352941176472</v>
      </c>
    </row>
    <row r="4021" spans="9:10" x14ac:dyDescent="0.3">
      <c r="I4021" s="72">
        <v>2009.5</v>
      </c>
      <c r="J4021" s="70">
        <v>0.99632352941176472</v>
      </c>
    </row>
    <row r="4022" spans="9:10" x14ac:dyDescent="0.3">
      <c r="I4022" s="72">
        <v>2010</v>
      </c>
      <c r="J4022" s="70">
        <v>0.99632352941176472</v>
      </c>
    </row>
    <row r="4023" spans="9:10" x14ac:dyDescent="0.3">
      <c r="I4023" s="72">
        <v>2010.5</v>
      </c>
      <c r="J4023" s="70">
        <v>0.99632352941176472</v>
      </c>
    </row>
    <row r="4024" spans="9:10" x14ac:dyDescent="0.3">
      <c r="I4024" s="72">
        <v>2011</v>
      </c>
      <c r="J4024" s="70">
        <v>0.99632352941176472</v>
      </c>
    </row>
    <row r="4025" spans="9:10" x14ac:dyDescent="0.3">
      <c r="I4025" s="72">
        <v>2011.5</v>
      </c>
      <c r="J4025" s="70">
        <v>0.99632352941176472</v>
      </c>
    </row>
    <row r="4026" spans="9:10" x14ac:dyDescent="0.3">
      <c r="I4026" s="72">
        <v>2012</v>
      </c>
      <c r="J4026" s="70">
        <v>0.99632352941176472</v>
      </c>
    </row>
    <row r="4027" spans="9:10" x14ac:dyDescent="0.3">
      <c r="I4027" s="72">
        <v>2012.5</v>
      </c>
      <c r="J4027" s="70">
        <v>0.99632352941176472</v>
      </c>
    </row>
    <row r="4028" spans="9:10" x14ac:dyDescent="0.3">
      <c r="I4028" s="72">
        <v>2013</v>
      </c>
      <c r="J4028" s="70">
        <v>0.99632352941176472</v>
      </c>
    </row>
    <row r="4029" spans="9:10" x14ac:dyDescent="0.3">
      <c r="I4029" s="72">
        <v>2013.5</v>
      </c>
      <c r="J4029" s="70">
        <v>0.99632352941176472</v>
      </c>
    </row>
    <row r="4030" spans="9:10" x14ac:dyDescent="0.3">
      <c r="I4030" s="72">
        <v>2014</v>
      </c>
      <c r="J4030" s="70">
        <v>0.99632352941176472</v>
      </c>
    </row>
    <row r="4031" spans="9:10" x14ac:dyDescent="0.3">
      <c r="I4031" s="72">
        <v>2014.5</v>
      </c>
      <c r="J4031" s="70">
        <v>0.99632352941176472</v>
      </c>
    </row>
    <row r="4032" spans="9:10" x14ac:dyDescent="0.3">
      <c r="I4032" s="72">
        <v>2015</v>
      </c>
      <c r="J4032" s="70">
        <v>0.99632352941176472</v>
      </c>
    </row>
    <row r="4033" spans="9:10" x14ac:dyDescent="0.3">
      <c r="I4033" s="72">
        <v>2015.5</v>
      </c>
      <c r="J4033" s="70">
        <v>0.99632352941176472</v>
      </c>
    </row>
    <row r="4034" spans="9:10" x14ac:dyDescent="0.3">
      <c r="I4034" s="72">
        <v>2016</v>
      </c>
      <c r="J4034" s="70">
        <v>0.99632352941176472</v>
      </c>
    </row>
    <row r="4035" spans="9:10" x14ac:dyDescent="0.3">
      <c r="I4035" s="72">
        <v>2016.5</v>
      </c>
      <c r="J4035" s="70">
        <v>0.99632352941176472</v>
      </c>
    </row>
    <row r="4036" spans="9:10" x14ac:dyDescent="0.3">
      <c r="I4036" s="72">
        <v>2017</v>
      </c>
      <c r="J4036" s="70">
        <v>0.99632352941176472</v>
      </c>
    </row>
    <row r="4037" spans="9:10" x14ac:dyDescent="0.3">
      <c r="I4037" s="72">
        <v>2017.5</v>
      </c>
      <c r="J4037" s="70">
        <v>0.99632352941176472</v>
      </c>
    </row>
    <row r="4038" spans="9:10" x14ac:dyDescent="0.3">
      <c r="I4038" s="72">
        <v>2018</v>
      </c>
      <c r="J4038" s="70">
        <v>0.99632352941176472</v>
      </c>
    </row>
    <row r="4039" spans="9:10" x14ac:dyDescent="0.3">
      <c r="I4039" s="72">
        <v>2018.5</v>
      </c>
      <c r="J4039" s="70">
        <v>0.99632352941176472</v>
      </c>
    </row>
    <row r="4040" spans="9:10" x14ac:dyDescent="0.3">
      <c r="I4040" s="72">
        <v>2019</v>
      </c>
      <c r="J4040" s="70">
        <v>0.99632352941176472</v>
      </c>
    </row>
    <row r="4041" spans="9:10" x14ac:dyDescent="0.3">
      <c r="I4041" s="72">
        <v>2019.5</v>
      </c>
      <c r="J4041" s="70">
        <v>0.99632352941176472</v>
      </c>
    </row>
    <row r="4042" spans="9:10" x14ac:dyDescent="0.3">
      <c r="I4042" s="72">
        <v>2020</v>
      </c>
      <c r="J4042" s="70">
        <v>0.99632352941176472</v>
      </c>
    </row>
    <row r="4043" spans="9:10" x14ac:dyDescent="0.3">
      <c r="I4043" s="72">
        <v>2020.5</v>
      </c>
      <c r="J4043" s="70">
        <v>0.99632352941176472</v>
      </c>
    </row>
    <row r="4044" spans="9:10" x14ac:dyDescent="0.3">
      <c r="I4044" s="72">
        <v>2021</v>
      </c>
      <c r="J4044" s="70">
        <v>0.99632352941176472</v>
      </c>
    </row>
    <row r="4045" spans="9:10" x14ac:dyDescent="0.3">
      <c r="I4045" s="72">
        <v>2021.5</v>
      </c>
      <c r="J4045" s="70">
        <v>0.99632352941176472</v>
      </c>
    </row>
    <row r="4046" spans="9:10" x14ac:dyDescent="0.3">
      <c r="I4046" s="72">
        <v>2022</v>
      </c>
      <c r="J4046" s="70">
        <v>0.99632352941176472</v>
      </c>
    </row>
    <row r="4047" spans="9:10" x14ac:dyDescent="0.3">
      <c r="I4047" s="72">
        <v>2022.5</v>
      </c>
      <c r="J4047" s="70">
        <v>0.99632352941176472</v>
      </c>
    </row>
    <row r="4048" spans="9:10" x14ac:dyDescent="0.3">
      <c r="I4048" s="72">
        <v>2023</v>
      </c>
      <c r="J4048" s="70">
        <v>0.99632352941176472</v>
      </c>
    </row>
    <row r="4049" spans="9:10" x14ac:dyDescent="0.3">
      <c r="I4049" s="72">
        <v>2023.5</v>
      </c>
      <c r="J4049" s="70">
        <v>0.99632352941176472</v>
      </c>
    </row>
    <row r="4050" spans="9:10" x14ac:dyDescent="0.3">
      <c r="I4050" s="72">
        <v>2024</v>
      </c>
      <c r="J4050" s="70">
        <v>0.99632352941176472</v>
      </c>
    </row>
    <row r="4051" spans="9:10" x14ac:dyDescent="0.3">
      <c r="I4051" s="72">
        <v>2024.5</v>
      </c>
      <c r="J4051" s="70">
        <v>0.99632352941176472</v>
      </c>
    </row>
    <row r="4052" spans="9:10" x14ac:dyDescent="0.3">
      <c r="I4052" s="72">
        <v>2025</v>
      </c>
      <c r="J4052" s="70">
        <v>0.99632352941176472</v>
      </c>
    </row>
    <row r="4053" spans="9:10" x14ac:dyDescent="0.3">
      <c r="I4053" s="72">
        <v>2025.5</v>
      </c>
      <c r="J4053" s="70">
        <v>0.99632352941176472</v>
      </c>
    </row>
    <row r="4054" spans="9:10" x14ac:dyDescent="0.3">
      <c r="I4054" s="72">
        <v>2026</v>
      </c>
      <c r="J4054" s="70">
        <v>0.99632352941176472</v>
      </c>
    </row>
    <row r="4055" spans="9:10" x14ac:dyDescent="0.3">
      <c r="I4055" s="72">
        <v>2026.5</v>
      </c>
      <c r="J4055" s="70">
        <v>0.99632352941176472</v>
      </c>
    </row>
    <row r="4056" spans="9:10" x14ac:dyDescent="0.3">
      <c r="I4056" s="72">
        <v>2027</v>
      </c>
      <c r="J4056" s="70">
        <v>0.99632352941176472</v>
      </c>
    </row>
    <row r="4057" spans="9:10" x14ac:dyDescent="0.3">
      <c r="I4057" s="72">
        <v>2027.5</v>
      </c>
      <c r="J4057" s="70">
        <v>0.99632352941176472</v>
      </c>
    </row>
    <row r="4058" spans="9:10" x14ac:dyDescent="0.3">
      <c r="I4058" s="72">
        <v>2028</v>
      </c>
      <c r="J4058" s="70">
        <v>0.99632352941176472</v>
      </c>
    </row>
    <row r="4059" spans="9:10" x14ac:dyDescent="0.3">
      <c r="I4059" s="72">
        <v>2028.5</v>
      </c>
      <c r="J4059" s="70">
        <v>0.99632352941176472</v>
      </c>
    </row>
    <row r="4060" spans="9:10" x14ac:dyDescent="0.3">
      <c r="I4060" s="72">
        <v>2029</v>
      </c>
      <c r="J4060" s="70">
        <v>0.99632352941176472</v>
      </c>
    </row>
    <row r="4061" spans="9:10" x14ac:dyDescent="0.3">
      <c r="I4061" s="72">
        <v>2029.5</v>
      </c>
      <c r="J4061" s="70">
        <v>0.99632352941176472</v>
      </c>
    </row>
    <row r="4062" spans="9:10" x14ac:dyDescent="0.3">
      <c r="I4062" s="72">
        <v>2030</v>
      </c>
      <c r="J4062" s="70">
        <v>0.99632352941176472</v>
      </c>
    </row>
    <row r="4063" spans="9:10" x14ac:dyDescent="0.3">
      <c r="I4063" s="72">
        <v>2030.5</v>
      </c>
      <c r="J4063" s="70">
        <v>0.99632352941176472</v>
      </c>
    </row>
    <row r="4064" spans="9:10" x14ac:dyDescent="0.3">
      <c r="I4064" s="72">
        <v>2031</v>
      </c>
      <c r="J4064" s="70">
        <v>0.99632352941176472</v>
      </c>
    </row>
    <row r="4065" spans="9:10" x14ac:dyDescent="0.3">
      <c r="I4065" s="72">
        <v>2031.5</v>
      </c>
      <c r="J4065" s="70">
        <v>0.99632352941176472</v>
      </c>
    </row>
    <row r="4066" spans="9:10" x14ac:dyDescent="0.3">
      <c r="I4066" s="72">
        <v>2032</v>
      </c>
      <c r="J4066" s="70">
        <v>0.99632352941176472</v>
      </c>
    </row>
    <row r="4067" spans="9:10" x14ac:dyDescent="0.3">
      <c r="I4067" s="72">
        <v>2032.5</v>
      </c>
      <c r="J4067" s="70">
        <v>0.99632352941176472</v>
      </c>
    </row>
    <row r="4068" spans="9:10" x14ac:dyDescent="0.3">
      <c r="I4068" s="72">
        <v>2033</v>
      </c>
      <c r="J4068" s="70">
        <v>0.99632352941176472</v>
      </c>
    </row>
    <row r="4069" spans="9:10" x14ac:dyDescent="0.3">
      <c r="I4069" s="72">
        <v>2033.5</v>
      </c>
      <c r="J4069" s="70">
        <v>0.99632352941176472</v>
      </c>
    </row>
    <row r="4070" spans="9:10" x14ac:dyDescent="0.3">
      <c r="I4070" s="72">
        <v>2034</v>
      </c>
      <c r="J4070" s="70">
        <v>0.99632352941176472</v>
      </c>
    </row>
    <row r="4071" spans="9:10" x14ac:dyDescent="0.3">
      <c r="I4071" s="72">
        <v>2034.5</v>
      </c>
      <c r="J4071" s="70">
        <v>0.99632352941176472</v>
      </c>
    </row>
    <row r="4072" spans="9:10" x14ac:dyDescent="0.3">
      <c r="I4072" s="72">
        <v>2035</v>
      </c>
      <c r="J4072" s="70">
        <v>0.99632352941176472</v>
      </c>
    </row>
    <row r="4073" spans="9:10" x14ac:dyDescent="0.3">
      <c r="I4073" s="72">
        <v>2035.5</v>
      </c>
      <c r="J4073" s="70">
        <v>0.99632352941176472</v>
      </c>
    </row>
    <row r="4074" spans="9:10" x14ac:dyDescent="0.3">
      <c r="I4074" s="72">
        <v>2036</v>
      </c>
      <c r="J4074" s="70">
        <v>0.99632352941176472</v>
      </c>
    </row>
    <row r="4075" spans="9:10" x14ac:dyDescent="0.3">
      <c r="I4075" s="72">
        <v>2036.5</v>
      </c>
      <c r="J4075" s="70">
        <v>0.99632352941176472</v>
      </c>
    </row>
    <row r="4076" spans="9:10" x14ac:dyDescent="0.3">
      <c r="I4076" s="72">
        <v>2037</v>
      </c>
      <c r="J4076" s="70">
        <v>0.99632352941176472</v>
      </c>
    </row>
    <row r="4077" spans="9:10" x14ac:dyDescent="0.3">
      <c r="I4077" s="72">
        <v>2037.5</v>
      </c>
      <c r="J4077" s="70">
        <v>0.99632352941176472</v>
      </c>
    </row>
    <row r="4078" spans="9:10" x14ac:dyDescent="0.3">
      <c r="I4078" s="72">
        <v>2038</v>
      </c>
      <c r="J4078" s="70">
        <v>0.99632352941176472</v>
      </c>
    </row>
    <row r="4079" spans="9:10" x14ac:dyDescent="0.3">
      <c r="I4079" s="72">
        <v>2038.5</v>
      </c>
      <c r="J4079" s="70">
        <v>0.99632352941176472</v>
      </c>
    </row>
    <row r="4080" spans="9:10" x14ac:dyDescent="0.3">
      <c r="I4080" s="72">
        <v>2039</v>
      </c>
      <c r="J4080" s="70">
        <v>0.99632352941176472</v>
      </c>
    </row>
    <row r="4081" spans="9:10" x14ac:dyDescent="0.3">
      <c r="I4081" s="72">
        <v>2039.5</v>
      </c>
      <c r="J4081" s="70">
        <v>0.99632352941176472</v>
      </c>
    </row>
    <row r="4082" spans="9:10" x14ac:dyDescent="0.3">
      <c r="I4082" s="72">
        <v>2040</v>
      </c>
      <c r="J4082" s="70">
        <v>0.99632352941176472</v>
      </c>
    </row>
    <row r="4083" spans="9:10" x14ac:dyDescent="0.3">
      <c r="I4083" s="72">
        <v>2040.5</v>
      </c>
      <c r="J4083" s="70">
        <v>0.99632352941176472</v>
      </c>
    </row>
    <row r="4084" spans="9:10" x14ac:dyDescent="0.3">
      <c r="I4084" s="72">
        <v>2041</v>
      </c>
      <c r="J4084" s="70">
        <v>0.99632352941176472</v>
      </c>
    </row>
    <row r="4085" spans="9:10" x14ac:dyDescent="0.3">
      <c r="I4085" s="72">
        <v>2041.5</v>
      </c>
      <c r="J4085" s="70">
        <v>0.99632352941176472</v>
      </c>
    </row>
    <row r="4086" spans="9:10" x14ac:dyDescent="0.3">
      <c r="I4086" s="72">
        <v>2042</v>
      </c>
      <c r="J4086" s="70">
        <v>0.99632352941176472</v>
      </c>
    </row>
    <row r="4087" spans="9:10" x14ac:dyDescent="0.3">
      <c r="I4087" s="72">
        <v>2042.5</v>
      </c>
      <c r="J4087" s="70">
        <v>0.99632352941176472</v>
      </c>
    </row>
    <row r="4088" spans="9:10" x14ac:dyDescent="0.3">
      <c r="I4088" s="72">
        <v>2043</v>
      </c>
      <c r="J4088" s="70">
        <v>0.99632352941176472</v>
      </c>
    </row>
    <row r="4089" spans="9:10" x14ac:dyDescent="0.3">
      <c r="I4089" s="72">
        <v>2043.5</v>
      </c>
      <c r="J4089" s="70">
        <v>0.99632352941176472</v>
      </c>
    </row>
    <row r="4090" spans="9:10" x14ac:dyDescent="0.3">
      <c r="I4090" s="72">
        <v>2044</v>
      </c>
      <c r="J4090" s="70">
        <v>0.99632352941176472</v>
      </c>
    </row>
    <row r="4091" spans="9:10" x14ac:dyDescent="0.3">
      <c r="I4091" s="72">
        <v>2044.5</v>
      </c>
      <c r="J4091" s="70">
        <v>0.99632352941176472</v>
      </c>
    </row>
    <row r="4092" spans="9:10" x14ac:dyDescent="0.3">
      <c r="I4092" s="72">
        <v>2045</v>
      </c>
      <c r="J4092" s="70">
        <v>0.99632352941176472</v>
      </c>
    </row>
    <row r="4093" spans="9:10" x14ac:dyDescent="0.3">
      <c r="I4093" s="72">
        <v>2045.5</v>
      </c>
      <c r="J4093" s="70">
        <v>0.99632352941176472</v>
      </c>
    </row>
    <row r="4094" spans="9:10" x14ac:dyDescent="0.3">
      <c r="I4094" s="72">
        <v>2046</v>
      </c>
      <c r="J4094" s="70">
        <v>0.99632352941176472</v>
      </c>
    </row>
    <row r="4095" spans="9:10" x14ac:dyDescent="0.3">
      <c r="I4095" s="72">
        <v>2046.5</v>
      </c>
      <c r="J4095" s="70">
        <v>0.99632352941176472</v>
      </c>
    </row>
    <row r="4096" spans="9:10" x14ac:dyDescent="0.3">
      <c r="I4096" s="72">
        <v>2047</v>
      </c>
      <c r="J4096" s="70">
        <v>0.99632352941176472</v>
      </c>
    </row>
    <row r="4097" spans="9:10" x14ac:dyDescent="0.3">
      <c r="I4097" s="72">
        <v>2047.5</v>
      </c>
      <c r="J4097" s="70">
        <v>0.99632352941176472</v>
      </c>
    </row>
    <row r="4098" spans="9:10" x14ac:dyDescent="0.3">
      <c r="I4098" s="72">
        <v>2048</v>
      </c>
      <c r="J4098" s="70">
        <v>0.99632352941176472</v>
      </c>
    </row>
    <row r="4099" spans="9:10" x14ac:dyDescent="0.3">
      <c r="I4099" s="72">
        <v>2048.5</v>
      </c>
      <c r="J4099" s="70">
        <v>0.99632352941176472</v>
      </c>
    </row>
    <row r="4100" spans="9:10" x14ac:dyDescent="0.3">
      <c r="I4100" s="72">
        <v>2049</v>
      </c>
      <c r="J4100" s="70">
        <v>0.99632352941176472</v>
      </c>
    </row>
    <row r="4101" spans="9:10" x14ac:dyDescent="0.3">
      <c r="I4101" s="72">
        <v>2049.5</v>
      </c>
      <c r="J4101" s="70">
        <v>0.99632352941176472</v>
      </c>
    </row>
    <row r="4102" spans="9:10" x14ac:dyDescent="0.3">
      <c r="I4102" s="72">
        <v>2050</v>
      </c>
      <c r="J4102" s="70">
        <v>0.99632352941176472</v>
      </c>
    </row>
    <row r="4103" spans="9:10" x14ac:dyDescent="0.3">
      <c r="I4103" s="72">
        <v>2050.5</v>
      </c>
      <c r="J4103" s="70">
        <v>0.99632352941176472</v>
      </c>
    </row>
    <row r="4104" spans="9:10" x14ac:dyDescent="0.3">
      <c r="I4104" s="72">
        <v>2051</v>
      </c>
      <c r="J4104" s="70">
        <v>0.99632352941176472</v>
      </c>
    </row>
    <row r="4105" spans="9:10" x14ac:dyDescent="0.3">
      <c r="I4105" s="72">
        <v>2051.5</v>
      </c>
      <c r="J4105" s="70">
        <v>0.99632352941176472</v>
      </c>
    </row>
    <row r="4106" spans="9:10" x14ac:dyDescent="0.3">
      <c r="I4106" s="72">
        <v>2052</v>
      </c>
      <c r="J4106" s="70">
        <v>0.99632352941176472</v>
      </c>
    </row>
    <row r="4107" spans="9:10" x14ac:dyDescent="0.3">
      <c r="I4107" s="72">
        <v>2052.5</v>
      </c>
      <c r="J4107" s="70">
        <v>0.99632352941176472</v>
      </c>
    </row>
    <row r="4108" spans="9:10" x14ac:dyDescent="0.3">
      <c r="I4108" s="72">
        <v>2053</v>
      </c>
      <c r="J4108" s="70">
        <v>0.99632352941176472</v>
      </c>
    </row>
    <row r="4109" spans="9:10" x14ac:dyDescent="0.3">
      <c r="I4109" s="72">
        <v>2053.5</v>
      </c>
      <c r="J4109" s="70">
        <v>0.99632352941176472</v>
      </c>
    </row>
    <row r="4110" spans="9:10" x14ac:dyDescent="0.3">
      <c r="I4110" s="72">
        <v>2054</v>
      </c>
      <c r="J4110" s="70">
        <v>0.99632352941176472</v>
      </c>
    </row>
    <row r="4111" spans="9:10" x14ac:dyDescent="0.3">
      <c r="I4111" s="72">
        <v>2054.5</v>
      </c>
      <c r="J4111" s="70">
        <v>0.99632352941176472</v>
      </c>
    </row>
    <row r="4112" spans="9:10" x14ac:dyDescent="0.3">
      <c r="I4112" s="72">
        <v>2055</v>
      </c>
      <c r="J4112" s="70">
        <v>0.99632352941176472</v>
      </c>
    </row>
    <row r="4113" spans="9:10" x14ac:dyDescent="0.3">
      <c r="I4113" s="72">
        <v>2055.5</v>
      </c>
      <c r="J4113" s="70">
        <v>0.99632352941176472</v>
      </c>
    </row>
    <row r="4114" spans="9:10" x14ac:dyDescent="0.3">
      <c r="I4114" s="72">
        <v>2056</v>
      </c>
      <c r="J4114" s="70">
        <v>0.99632352941176472</v>
      </c>
    </row>
    <row r="4115" spans="9:10" x14ac:dyDescent="0.3">
      <c r="I4115" s="72">
        <v>2056.5</v>
      </c>
      <c r="J4115" s="70">
        <v>0.99632352941176472</v>
      </c>
    </row>
    <row r="4116" spans="9:10" x14ac:dyDescent="0.3">
      <c r="I4116" s="72">
        <v>2057</v>
      </c>
      <c r="J4116" s="70">
        <v>0.99632352941176472</v>
      </c>
    </row>
    <row r="4117" spans="9:10" x14ac:dyDescent="0.3">
      <c r="I4117" s="72">
        <v>2057.5</v>
      </c>
      <c r="J4117" s="70">
        <v>0.99632352941176472</v>
      </c>
    </row>
    <row r="4118" spans="9:10" x14ac:dyDescent="0.3">
      <c r="I4118" s="72">
        <v>2058</v>
      </c>
      <c r="J4118" s="70">
        <v>0.99632352941176472</v>
      </c>
    </row>
    <row r="4119" spans="9:10" x14ac:dyDescent="0.3">
      <c r="I4119" s="72">
        <v>2058.5</v>
      </c>
      <c r="J4119" s="70">
        <v>0.99632352941176472</v>
      </c>
    </row>
    <row r="4120" spans="9:10" x14ac:dyDescent="0.3">
      <c r="I4120" s="72">
        <v>2059</v>
      </c>
      <c r="J4120" s="70">
        <v>0.99632352941176472</v>
      </c>
    </row>
    <row r="4121" spans="9:10" x14ac:dyDescent="0.3">
      <c r="I4121" s="72">
        <v>2059.5</v>
      </c>
      <c r="J4121" s="70">
        <v>0.99632352941176472</v>
      </c>
    </row>
    <row r="4122" spans="9:10" x14ac:dyDescent="0.3">
      <c r="I4122" s="72">
        <v>2060</v>
      </c>
      <c r="J4122" s="70">
        <v>0.99632352941176472</v>
      </c>
    </row>
    <row r="4123" spans="9:10" x14ac:dyDescent="0.3">
      <c r="I4123" s="72">
        <v>2060.5</v>
      </c>
      <c r="J4123" s="70">
        <v>0.99632352941176472</v>
      </c>
    </row>
    <row r="4124" spans="9:10" x14ac:dyDescent="0.3">
      <c r="I4124" s="72">
        <v>2061</v>
      </c>
      <c r="J4124" s="70">
        <v>0.99632352941176472</v>
      </c>
    </row>
    <row r="4125" spans="9:10" x14ac:dyDescent="0.3">
      <c r="I4125" s="72">
        <v>2061.5</v>
      </c>
      <c r="J4125" s="70">
        <v>0.99632352941176472</v>
      </c>
    </row>
    <row r="4126" spans="9:10" x14ac:dyDescent="0.3">
      <c r="I4126" s="72">
        <v>2062</v>
      </c>
      <c r="J4126" s="70">
        <v>0.99632352941176472</v>
      </c>
    </row>
    <row r="4127" spans="9:10" x14ac:dyDescent="0.3">
      <c r="I4127" s="72">
        <v>2062.5</v>
      </c>
      <c r="J4127" s="70">
        <v>0.99632352941176472</v>
      </c>
    </row>
    <row r="4128" spans="9:10" x14ac:dyDescent="0.3">
      <c r="I4128" s="72">
        <v>2063</v>
      </c>
      <c r="J4128" s="70">
        <v>0.99632352941176472</v>
      </c>
    </row>
    <row r="4129" spans="9:10" x14ac:dyDescent="0.3">
      <c r="I4129" s="72">
        <v>2063.5</v>
      </c>
      <c r="J4129" s="70">
        <v>0.99632352941176472</v>
      </c>
    </row>
    <row r="4130" spans="9:10" x14ac:dyDescent="0.3">
      <c r="I4130" s="72">
        <v>2064</v>
      </c>
      <c r="J4130" s="70">
        <v>0.99632352941176472</v>
      </c>
    </row>
    <row r="4131" spans="9:10" x14ac:dyDescent="0.3">
      <c r="I4131" s="72">
        <v>2064.5</v>
      </c>
      <c r="J4131" s="70">
        <v>0.99632352941176472</v>
      </c>
    </row>
    <row r="4132" spans="9:10" x14ac:dyDescent="0.3">
      <c r="I4132" s="72">
        <v>2065</v>
      </c>
      <c r="J4132" s="70">
        <v>0.99632352941176472</v>
      </c>
    </row>
    <row r="4133" spans="9:10" x14ac:dyDescent="0.3">
      <c r="I4133" s="72">
        <v>2065.5</v>
      </c>
      <c r="J4133" s="70">
        <v>0.99632352941176472</v>
      </c>
    </row>
    <row r="4134" spans="9:10" x14ac:dyDescent="0.3">
      <c r="I4134" s="72">
        <v>2066</v>
      </c>
      <c r="J4134" s="70">
        <v>0.99632352941176472</v>
      </c>
    </row>
    <row r="4135" spans="9:10" x14ac:dyDescent="0.3">
      <c r="I4135" s="72">
        <v>2066.5</v>
      </c>
      <c r="J4135" s="70">
        <v>0.99632352941176472</v>
      </c>
    </row>
    <row r="4136" spans="9:10" x14ac:dyDescent="0.3">
      <c r="I4136" s="72">
        <v>2067</v>
      </c>
      <c r="J4136" s="70">
        <v>0.99632352941176472</v>
      </c>
    </row>
    <row r="4137" spans="9:10" x14ac:dyDescent="0.3">
      <c r="I4137" s="72">
        <v>2067.5</v>
      </c>
      <c r="J4137" s="70">
        <v>0.99632352941176472</v>
      </c>
    </row>
    <row r="4138" spans="9:10" x14ac:dyDescent="0.3">
      <c r="I4138" s="72">
        <v>2068</v>
      </c>
      <c r="J4138" s="70">
        <v>0.99632352941176472</v>
      </c>
    </row>
    <row r="4139" spans="9:10" x14ac:dyDescent="0.3">
      <c r="I4139" s="72">
        <v>2068.5</v>
      </c>
      <c r="J4139" s="70">
        <v>0.99632352941176472</v>
      </c>
    </row>
    <row r="4140" spans="9:10" x14ac:dyDescent="0.3">
      <c r="I4140" s="72">
        <v>2069</v>
      </c>
      <c r="J4140" s="70">
        <v>0.99632352941176472</v>
      </c>
    </row>
    <row r="4141" spans="9:10" x14ac:dyDescent="0.3">
      <c r="I4141" s="72">
        <v>2069.5</v>
      </c>
      <c r="J4141" s="70">
        <v>0.99632352941176472</v>
      </c>
    </row>
    <row r="4142" spans="9:10" x14ac:dyDescent="0.3">
      <c r="I4142" s="72">
        <v>2070</v>
      </c>
      <c r="J4142" s="70">
        <v>0.99632352941176472</v>
      </c>
    </row>
    <row r="4143" spans="9:10" x14ac:dyDescent="0.3">
      <c r="I4143" s="72">
        <v>2070.5</v>
      </c>
      <c r="J4143" s="70">
        <v>0.99632352941176472</v>
      </c>
    </row>
    <row r="4144" spans="9:10" x14ac:dyDescent="0.3">
      <c r="I4144" s="72">
        <v>2071</v>
      </c>
      <c r="J4144" s="70">
        <v>0.99632352941176472</v>
      </c>
    </row>
    <row r="4145" spans="9:10" x14ac:dyDescent="0.3">
      <c r="I4145" s="72">
        <v>2071.5</v>
      </c>
      <c r="J4145" s="70">
        <v>0.99632352941176472</v>
      </c>
    </row>
    <row r="4146" spans="9:10" x14ac:dyDescent="0.3">
      <c r="I4146" s="72">
        <v>2072</v>
      </c>
      <c r="J4146" s="70">
        <v>0.99632352941176472</v>
      </c>
    </row>
    <row r="4147" spans="9:10" x14ac:dyDescent="0.3">
      <c r="I4147" s="72">
        <v>2072.5</v>
      </c>
      <c r="J4147" s="70">
        <v>0.99632352941176472</v>
      </c>
    </row>
    <row r="4148" spans="9:10" x14ac:dyDescent="0.3">
      <c r="I4148" s="72">
        <v>2073</v>
      </c>
      <c r="J4148" s="70">
        <v>0.99632352941176472</v>
      </c>
    </row>
    <row r="4149" spans="9:10" x14ac:dyDescent="0.3">
      <c r="I4149" s="72">
        <v>2073.5</v>
      </c>
      <c r="J4149" s="70">
        <v>0.99632352941176472</v>
      </c>
    </row>
    <row r="4150" spans="9:10" x14ac:dyDescent="0.3">
      <c r="I4150" s="72">
        <v>2074</v>
      </c>
      <c r="J4150" s="70">
        <v>0.99632352941176472</v>
      </c>
    </row>
    <row r="4151" spans="9:10" x14ac:dyDescent="0.3">
      <c r="I4151" s="72">
        <v>2074.5</v>
      </c>
      <c r="J4151" s="70">
        <v>0.99632352941176472</v>
      </c>
    </row>
    <row r="4152" spans="9:10" x14ac:dyDescent="0.3">
      <c r="I4152" s="72">
        <v>2075</v>
      </c>
      <c r="J4152" s="70">
        <v>0.99632352941176472</v>
      </c>
    </row>
    <row r="4153" spans="9:10" x14ac:dyDescent="0.3">
      <c r="I4153" s="72">
        <v>2075.5</v>
      </c>
      <c r="J4153" s="70">
        <v>0.99632352941176472</v>
      </c>
    </row>
    <row r="4154" spans="9:10" x14ac:dyDescent="0.3">
      <c r="I4154" s="72">
        <v>2076</v>
      </c>
      <c r="J4154" s="70">
        <v>0.99632352941176472</v>
      </c>
    </row>
    <row r="4155" spans="9:10" x14ac:dyDescent="0.3">
      <c r="I4155" s="72">
        <v>2076.5</v>
      </c>
      <c r="J4155" s="70">
        <v>0.99632352941176472</v>
      </c>
    </row>
    <row r="4156" spans="9:10" x14ac:dyDescent="0.3">
      <c r="I4156" s="72">
        <v>2077</v>
      </c>
      <c r="J4156" s="70">
        <v>0.99632352941176472</v>
      </c>
    </row>
    <row r="4157" spans="9:10" x14ac:dyDescent="0.3">
      <c r="I4157" s="72">
        <v>2077.5</v>
      </c>
      <c r="J4157" s="70">
        <v>0.99632352941176472</v>
      </c>
    </row>
    <row r="4158" spans="9:10" x14ac:dyDescent="0.3">
      <c r="I4158" s="72">
        <v>2078</v>
      </c>
      <c r="J4158" s="70">
        <v>0.99632352941176472</v>
      </c>
    </row>
    <row r="4159" spans="9:10" x14ac:dyDescent="0.3">
      <c r="I4159" s="72">
        <v>2078.5</v>
      </c>
      <c r="J4159" s="70">
        <v>0.99632352941176472</v>
      </c>
    </row>
    <row r="4160" spans="9:10" x14ac:dyDescent="0.3">
      <c r="I4160" s="72">
        <v>2079</v>
      </c>
      <c r="J4160" s="70">
        <v>0.99632352941176472</v>
      </c>
    </row>
    <row r="4161" spans="9:10" x14ac:dyDescent="0.3">
      <c r="I4161" s="72">
        <v>2079.5</v>
      </c>
      <c r="J4161" s="70">
        <v>0.99632352941176472</v>
      </c>
    </row>
    <row r="4162" spans="9:10" x14ac:dyDescent="0.3">
      <c r="I4162" s="72">
        <v>2080</v>
      </c>
      <c r="J4162" s="70">
        <v>0.99632352941176472</v>
      </c>
    </row>
    <row r="4163" spans="9:10" x14ac:dyDescent="0.3">
      <c r="I4163" s="72">
        <v>2080.5</v>
      </c>
      <c r="J4163" s="70">
        <v>0.99632352941176472</v>
      </c>
    </row>
    <row r="4164" spans="9:10" x14ac:dyDescent="0.3">
      <c r="I4164" s="72">
        <v>2081</v>
      </c>
      <c r="J4164" s="70">
        <v>0.99632352941176472</v>
      </c>
    </row>
    <row r="4165" spans="9:10" x14ac:dyDescent="0.3">
      <c r="I4165" s="72">
        <v>2081.5</v>
      </c>
      <c r="J4165" s="70">
        <v>0.99632352941176472</v>
      </c>
    </row>
    <row r="4166" spans="9:10" x14ac:dyDescent="0.3">
      <c r="I4166" s="72">
        <v>2082</v>
      </c>
      <c r="J4166" s="70">
        <v>0.99632352941176472</v>
      </c>
    </row>
    <row r="4167" spans="9:10" x14ac:dyDescent="0.3">
      <c r="I4167" s="72">
        <v>2082.5</v>
      </c>
      <c r="J4167" s="70">
        <v>0.99632352941176472</v>
      </c>
    </row>
    <row r="4168" spans="9:10" x14ac:dyDescent="0.3">
      <c r="I4168" s="72">
        <v>2083</v>
      </c>
      <c r="J4168" s="70">
        <v>0.99632352941176472</v>
      </c>
    </row>
    <row r="4169" spans="9:10" x14ac:dyDescent="0.3">
      <c r="I4169" s="72">
        <v>2083.5</v>
      </c>
      <c r="J4169" s="70">
        <v>0.99632352941176472</v>
      </c>
    </row>
    <row r="4170" spans="9:10" x14ac:dyDescent="0.3">
      <c r="I4170" s="72">
        <v>2084</v>
      </c>
      <c r="J4170" s="70">
        <v>0.99632352941176472</v>
      </c>
    </row>
    <row r="4171" spans="9:10" x14ac:dyDescent="0.3">
      <c r="I4171" s="72">
        <v>2084.5</v>
      </c>
      <c r="J4171" s="70">
        <v>0.99632352941176472</v>
      </c>
    </row>
    <row r="4172" spans="9:10" x14ac:dyDescent="0.3">
      <c r="I4172" s="72">
        <v>2085</v>
      </c>
      <c r="J4172" s="70">
        <v>0.99632352941176472</v>
      </c>
    </row>
    <row r="4173" spans="9:10" x14ac:dyDescent="0.3">
      <c r="I4173" s="72">
        <v>2085.5</v>
      </c>
      <c r="J4173" s="70">
        <v>0.99632352941176472</v>
      </c>
    </row>
    <row r="4174" spans="9:10" x14ac:dyDescent="0.3">
      <c r="I4174" s="72">
        <v>2086</v>
      </c>
      <c r="J4174" s="70">
        <v>0.99632352941176472</v>
      </c>
    </row>
    <row r="4175" spans="9:10" x14ac:dyDescent="0.3">
      <c r="I4175" s="72">
        <v>2086.5</v>
      </c>
      <c r="J4175" s="70">
        <v>0.99632352941176472</v>
      </c>
    </row>
    <row r="4176" spans="9:10" x14ac:dyDescent="0.3">
      <c r="I4176" s="72">
        <v>2087</v>
      </c>
      <c r="J4176" s="70">
        <v>0.99632352941176472</v>
      </c>
    </row>
    <row r="4177" spans="9:10" x14ac:dyDescent="0.3">
      <c r="I4177" s="72">
        <v>2087.5</v>
      </c>
      <c r="J4177" s="70">
        <v>0.99632352941176472</v>
      </c>
    </row>
    <row r="4178" spans="9:10" x14ac:dyDescent="0.3">
      <c r="I4178" s="72">
        <v>2088</v>
      </c>
      <c r="J4178" s="70">
        <v>0.99632352941176472</v>
      </c>
    </row>
    <row r="4179" spans="9:10" x14ac:dyDescent="0.3">
      <c r="I4179" s="72">
        <v>2088.5</v>
      </c>
      <c r="J4179" s="70">
        <v>0.99632352941176472</v>
      </c>
    </row>
    <row r="4180" spans="9:10" x14ac:dyDescent="0.3">
      <c r="I4180" s="72">
        <v>2089</v>
      </c>
      <c r="J4180" s="70">
        <v>0.99632352941176472</v>
      </c>
    </row>
    <row r="4181" spans="9:10" x14ac:dyDescent="0.3">
      <c r="I4181" s="72">
        <v>2089.5</v>
      </c>
      <c r="J4181" s="70">
        <v>0.99632352941176472</v>
      </c>
    </row>
    <row r="4182" spans="9:10" x14ac:dyDescent="0.3">
      <c r="I4182" s="72">
        <v>2090</v>
      </c>
      <c r="J4182" s="70">
        <v>0.99632352941176472</v>
      </c>
    </row>
    <row r="4183" spans="9:10" x14ac:dyDescent="0.3">
      <c r="I4183" s="72">
        <v>2090.5</v>
      </c>
      <c r="J4183" s="70">
        <v>0.99632352941176472</v>
      </c>
    </row>
    <row r="4184" spans="9:10" x14ac:dyDescent="0.3">
      <c r="I4184" s="72">
        <v>2091</v>
      </c>
      <c r="J4184" s="70">
        <v>0.99632352941176472</v>
      </c>
    </row>
    <row r="4185" spans="9:10" x14ac:dyDescent="0.3">
      <c r="I4185" s="72">
        <v>2091.5</v>
      </c>
      <c r="J4185" s="70">
        <v>0.99632352941176472</v>
      </c>
    </row>
    <row r="4186" spans="9:10" x14ac:dyDescent="0.3">
      <c r="I4186" s="72">
        <v>2092</v>
      </c>
      <c r="J4186" s="70">
        <v>0.99632352941176472</v>
      </c>
    </row>
    <row r="4187" spans="9:10" x14ac:dyDescent="0.3">
      <c r="I4187" s="72">
        <v>2092.5</v>
      </c>
      <c r="J4187" s="70">
        <v>0.99632352941176472</v>
      </c>
    </row>
    <row r="4188" spans="9:10" x14ac:dyDescent="0.3">
      <c r="I4188" s="72">
        <v>2093</v>
      </c>
      <c r="J4188" s="70">
        <v>0.99632352941176472</v>
      </c>
    </row>
    <row r="4189" spans="9:10" x14ac:dyDescent="0.3">
      <c r="I4189" s="72">
        <v>2093.5</v>
      </c>
      <c r="J4189" s="70">
        <v>0.99632352941176472</v>
      </c>
    </row>
    <row r="4190" spans="9:10" x14ac:dyDescent="0.3">
      <c r="I4190" s="72">
        <v>2094</v>
      </c>
      <c r="J4190" s="70">
        <v>0.99632352941176472</v>
      </c>
    </row>
    <row r="4191" spans="9:10" x14ac:dyDescent="0.3">
      <c r="I4191" s="72">
        <v>2094.5</v>
      </c>
      <c r="J4191" s="70">
        <v>0.99632352941176472</v>
      </c>
    </row>
    <row r="4192" spans="9:10" x14ac:dyDescent="0.3">
      <c r="I4192" s="72">
        <v>2095</v>
      </c>
      <c r="J4192" s="70">
        <v>0.99632352941176472</v>
      </c>
    </row>
    <row r="4193" spans="9:10" x14ac:dyDescent="0.3">
      <c r="I4193" s="72">
        <v>2095.5</v>
      </c>
      <c r="J4193" s="70">
        <v>0.99632352941176472</v>
      </c>
    </row>
    <row r="4194" spans="9:10" x14ac:dyDescent="0.3">
      <c r="I4194" s="72">
        <v>2096</v>
      </c>
      <c r="J4194" s="70">
        <v>0.99632352941176472</v>
      </c>
    </row>
    <row r="4195" spans="9:10" x14ac:dyDescent="0.3">
      <c r="I4195" s="72">
        <v>2096.5</v>
      </c>
      <c r="J4195" s="70">
        <v>0.99632352941176472</v>
      </c>
    </row>
    <row r="4196" spans="9:10" x14ac:dyDescent="0.3">
      <c r="I4196" s="72">
        <v>2097</v>
      </c>
      <c r="J4196" s="70">
        <v>0.99632352941176472</v>
      </c>
    </row>
    <row r="4197" spans="9:10" x14ac:dyDescent="0.3">
      <c r="I4197" s="72">
        <v>2097.5</v>
      </c>
      <c r="J4197" s="70">
        <v>0.99632352941176472</v>
      </c>
    </row>
    <row r="4198" spans="9:10" x14ac:dyDescent="0.3">
      <c r="I4198" s="72">
        <v>2098</v>
      </c>
      <c r="J4198" s="70">
        <v>0.99632352941176472</v>
      </c>
    </row>
    <row r="4199" spans="9:10" x14ac:dyDescent="0.3">
      <c r="I4199" s="72">
        <v>2098.5</v>
      </c>
      <c r="J4199" s="70">
        <v>0.99632352941176472</v>
      </c>
    </row>
    <row r="4200" spans="9:10" x14ac:dyDescent="0.3">
      <c r="I4200" s="72">
        <v>2099</v>
      </c>
      <c r="J4200" s="70">
        <v>0.99632352941176472</v>
      </c>
    </row>
    <row r="4201" spans="9:10" x14ac:dyDescent="0.3">
      <c r="I4201" s="72">
        <v>2099.5</v>
      </c>
      <c r="J4201" s="70">
        <v>0.99632352941176472</v>
      </c>
    </row>
    <row r="4202" spans="9:10" x14ac:dyDescent="0.3">
      <c r="I4202" s="72">
        <v>2100</v>
      </c>
      <c r="J4202" s="70">
        <v>0.99632352941176472</v>
      </c>
    </row>
    <row r="4203" spans="9:10" x14ac:dyDescent="0.3">
      <c r="I4203" s="72">
        <v>2100.5</v>
      </c>
      <c r="J4203" s="70">
        <v>0.99632352941176472</v>
      </c>
    </row>
    <row r="4204" spans="9:10" x14ac:dyDescent="0.3">
      <c r="I4204" s="72">
        <v>2101</v>
      </c>
      <c r="J4204" s="70">
        <v>0.99632352941176472</v>
      </c>
    </row>
    <row r="4205" spans="9:10" x14ac:dyDescent="0.3">
      <c r="I4205" s="72">
        <v>2101.5</v>
      </c>
      <c r="J4205" s="70">
        <v>0.99632352941176472</v>
      </c>
    </row>
    <row r="4206" spans="9:10" x14ac:dyDescent="0.3">
      <c r="I4206" s="72">
        <v>2102</v>
      </c>
      <c r="J4206" s="70">
        <v>0.99632352941176472</v>
      </c>
    </row>
    <row r="4207" spans="9:10" x14ac:dyDescent="0.3">
      <c r="I4207" s="72">
        <v>2102.5</v>
      </c>
      <c r="J4207" s="70">
        <v>0.99632352941176472</v>
      </c>
    </row>
    <row r="4208" spans="9:10" x14ac:dyDescent="0.3">
      <c r="I4208" s="72">
        <v>2103</v>
      </c>
      <c r="J4208" s="70">
        <v>0.99632352941176472</v>
      </c>
    </row>
    <row r="4209" spans="9:10" x14ac:dyDescent="0.3">
      <c r="I4209" s="72">
        <v>2103.5</v>
      </c>
      <c r="J4209" s="70">
        <v>0.99632352941176472</v>
      </c>
    </row>
    <row r="4210" spans="9:10" x14ac:dyDescent="0.3">
      <c r="I4210" s="72">
        <v>2104</v>
      </c>
      <c r="J4210" s="70">
        <v>0.99632352941176472</v>
      </c>
    </row>
    <row r="4211" spans="9:10" x14ac:dyDescent="0.3">
      <c r="I4211" s="72">
        <v>2104.5</v>
      </c>
      <c r="J4211" s="70">
        <v>0.99632352941176472</v>
      </c>
    </row>
    <row r="4212" spans="9:10" x14ac:dyDescent="0.3">
      <c r="I4212" s="72">
        <v>2105</v>
      </c>
      <c r="J4212" s="70">
        <v>0.99632352941176472</v>
      </c>
    </row>
    <row r="4213" spans="9:10" x14ac:dyDescent="0.3">
      <c r="I4213" s="72">
        <v>2105.5</v>
      </c>
      <c r="J4213" s="70">
        <v>0.99632352941176472</v>
      </c>
    </row>
    <row r="4214" spans="9:10" x14ac:dyDescent="0.3">
      <c r="I4214" s="72">
        <v>2106</v>
      </c>
      <c r="J4214" s="70">
        <v>0.99632352941176472</v>
      </c>
    </row>
    <row r="4215" spans="9:10" x14ac:dyDescent="0.3">
      <c r="I4215" s="72">
        <v>2106.5</v>
      </c>
      <c r="J4215" s="70">
        <v>0.99632352941176472</v>
      </c>
    </row>
    <row r="4216" spans="9:10" x14ac:dyDescent="0.3">
      <c r="I4216" s="72">
        <v>2107</v>
      </c>
      <c r="J4216" s="70">
        <v>0.99632352941176472</v>
      </c>
    </row>
    <row r="4217" spans="9:10" x14ac:dyDescent="0.3">
      <c r="I4217" s="72">
        <v>2107.5</v>
      </c>
      <c r="J4217" s="70">
        <v>0.99632352941176472</v>
      </c>
    </row>
    <row r="4218" spans="9:10" x14ac:dyDescent="0.3">
      <c r="I4218" s="72">
        <v>2108</v>
      </c>
      <c r="J4218" s="70">
        <v>0.99632352941176472</v>
      </c>
    </row>
    <row r="4219" spans="9:10" x14ac:dyDescent="0.3">
      <c r="I4219" s="72">
        <v>2108.5</v>
      </c>
      <c r="J4219" s="70">
        <v>0.99632352941176472</v>
      </c>
    </row>
    <row r="4220" spans="9:10" x14ac:dyDescent="0.3">
      <c r="I4220" s="72">
        <v>2109</v>
      </c>
      <c r="J4220" s="70">
        <v>0.99632352941176472</v>
      </c>
    </row>
    <row r="4221" spans="9:10" x14ac:dyDescent="0.3">
      <c r="I4221" s="72">
        <v>2109.5</v>
      </c>
      <c r="J4221" s="70">
        <v>0.99632352941176472</v>
      </c>
    </row>
    <row r="4222" spans="9:10" x14ac:dyDescent="0.3">
      <c r="I4222" s="72">
        <v>2110</v>
      </c>
      <c r="J4222" s="70">
        <v>0.99632352941176472</v>
      </c>
    </row>
    <row r="4223" spans="9:10" x14ac:dyDescent="0.3">
      <c r="I4223" s="72">
        <v>2110.5</v>
      </c>
      <c r="J4223" s="70">
        <v>0.99632352941176472</v>
      </c>
    </row>
    <row r="4224" spans="9:10" x14ac:dyDescent="0.3">
      <c r="I4224" s="72">
        <v>2111</v>
      </c>
      <c r="J4224" s="70">
        <v>0.99632352941176472</v>
      </c>
    </row>
    <row r="4225" spans="9:10" x14ac:dyDescent="0.3">
      <c r="I4225" s="72">
        <v>2111.5</v>
      </c>
      <c r="J4225" s="70">
        <v>0.99632352941176472</v>
      </c>
    </row>
    <row r="4226" spans="9:10" x14ac:dyDescent="0.3">
      <c r="I4226" s="72">
        <v>2112</v>
      </c>
      <c r="J4226" s="70">
        <v>0.99632352941176472</v>
      </c>
    </row>
    <row r="4227" spans="9:10" x14ac:dyDescent="0.3">
      <c r="I4227" s="72">
        <v>2112.5</v>
      </c>
      <c r="J4227" s="70">
        <v>0.99632352941176472</v>
      </c>
    </row>
    <row r="4228" spans="9:10" x14ac:dyDescent="0.3">
      <c r="I4228" s="72">
        <v>2113</v>
      </c>
      <c r="J4228" s="70">
        <v>0.99632352941176472</v>
      </c>
    </row>
    <row r="4229" spans="9:10" x14ac:dyDescent="0.3">
      <c r="I4229" s="72">
        <v>2113.5</v>
      </c>
      <c r="J4229" s="70">
        <v>0.99632352941176472</v>
      </c>
    </row>
    <row r="4230" spans="9:10" x14ac:dyDescent="0.3">
      <c r="I4230" s="72">
        <v>2114</v>
      </c>
      <c r="J4230" s="70">
        <v>0.99632352941176472</v>
      </c>
    </row>
    <row r="4231" spans="9:10" x14ac:dyDescent="0.3">
      <c r="I4231" s="72">
        <v>2114.5</v>
      </c>
      <c r="J4231" s="70">
        <v>0.99632352941176472</v>
      </c>
    </row>
    <row r="4232" spans="9:10" x14ac:dyDescent="0.3">
      <c r="I4232" s="72">
        <v>2115</v>
      </c>
      <c r="J4232" s="70">
        <v>0.99632352941176472</v>
      </c>
    </row>
    <row r="4233" spans="9:10" x14ac:dyDescent="0.3">
      <c r="I4233" s="72">
        <v>2115.5</v>
      </c>
      <c r="J4233" s="70">
        <v>0.99632352941176472</v>
      </c>
    </row>
    <row r="4234" spans="9:10" x14ac:dyDescent="0.3">
      <c r="I4234" s="72">
        <v>2116</v>
      </c>
      <c r="J4234" s="70">
        <v>0.99632352941176472</v>
      </c>
    </row>
    <row r="4235" spans="9:10" x14ac:dyDescent="0.3">
      <c r="I4235" s="72">
        <v>2116.5</v>
      </c>
      <c r="J4235" s="70">
        <v>0.99632352941176472</v>
      </c>
    </row>
    <row r="4236" spans="9:10" x14ac:dyDescent="0.3">
      <c r="I4236" s="72">
        <v>2117</v>
      </c>
      <c r="J4236" s="70">
        <v>0.99632352941176472</v>
      </c>
    </row>
    <row r="4237" spans="9:10" x14ac:dyDescent="0.3">
      <c r="I4237" s="72">
        <v>2117.5</v>
      </c>
      <c r="J4237" s="70">
        <v>0.99632352941176472</v>
      </c>
    </row>
    <row r="4238" spans="9:10" x14ac:dyDescent="0.3">
      <c r="I4238" s="72">
        <v>2118</v>
      </c>
      <c r="J4238" s="70">
        <v>0.99632352941176472</v>
      </c>
    </row>
    <row r="4239" spans="9:10" x14ac:dyDescent="0.3">
      <c r="I4239" s="72">
        <v>2118.5</v>
      </c>
      <c r="J4239" s="70">
        <v>0.99632352941176472</v>
      </c>
    </row>
    <row r="4240" spans="9:10" x14ac:dyDescent="0.3">
      <c r="I4240" s="72">
        <v>2119</v>
      </c>
      <c r="J4240" s="70">
        <v>0.99632352941176472</v>
      </c>
    </row>
    <row r="4241" spans="9:10" x14ac:dyDescent="0.3">
      <c r="I4241" s="72">
        <v>2119.5</v>
      </c>
      <c r="J4241" s="70">
        <v>0.99632352941176472</v>
      </c>
    </row>
    <row r="4242" spans="9:10" x14ac:dyDescent="0.3">
      <c r="I4242" s="72">
        <v>2120</v>
      </c>
      <c r="J4242" s="70">
        <v>0.99632352941176472</v>
      </c>
    </row>
    <row r="4243" spans="9:10" x14ac:dyDescent="0.3">
      <c r="I4243" s="72">
        <v>2120.5</v>
      </c>
      <c r="J4243" s="70">
        <v>0.99632352941176472</v>
      </c>
    </row>
    <row r="4244" spans="9:10" x14ac:dyDescent="0.3">
      <c r="I4244" s="72">
        <v>2121</v>
      </c>
      <c r="J4244" s="70">
        <v>0.99632352941176472</v>
      </c>
    </row>
    <row r="4245" spans="9:10" x14ac:dyDescent="0.3">
      <c r="I4245" s="72">
        <v>2121.5</v>
      </c>
      <c r="J4245" s="70">
        <v>0.99632352941176472</v>
      </c>
    </row>
    <row r="4246" spans="9:10" x14ac:dyDescent="0.3">
      <c r="I4246" s="72">
        <v>2122</v>
      </c>
      <c r="J4246" s="70">
        <v>0.99632352941176472</v>
      </c>
    </row>
    <row r="4247" spans="9:10" x14ac:dyDescent="0.3">
      <c r="I4247" s="72">
        <v>2122.5</v>
      </c>
      <c r="J4247" s="70">
        <v>0.99632352941176472</v>
      </c>
    </row>
    <row r="4248" spans="9:10" x14ac:dyDescent="0.3">
      <c r="I4248" s="72">
        <v>2123</v>
      </c>
      <c r="J4248" s="70">
        <v>0.99632352941176472</v>
      </c>
    </row>
    <row r="4249" spans="9:10" x14ac:dyDescent="0.3">
      <c r="I4249" s="72">
        <v>2123.5</v>
      </c>
      <c r="J4249" s="70">
        <v>0.99632352941176472</v>
      </c>
    </row>
    <row r="4250" spans="9:10" x14ac:dyDescent="0.3">
      <c r="I4250" s="72">
        <v>2124</v>
      </c>
      <c r="J4250" s="70">
        <v>0.99632352941176472</v>
      </c>
    </row>
    <row r="4251" spans="9:10" x14ac:dyDescent="0.3">
      <c r="I4251" s="72">
        <v>2124.5</v>
      </c>
      <c r="J4251" s="70">
        <v>0.99632352941176472</v>
      </c>
    </row>
    <row r="4252" spans="9:10" x14ac:dyDescent="0.3">
      <c r="I4252" s="72">
        <v>2125</v>
      </c>
      <c r="J4252" s="70">
        <v>0.99632352941176472</v>
      </c>
    </row>
    <row r="4253" spans="9:10" x14ac:dyDescent="0.3">
      <c r="I4253" s="72">
        <v>2125.5</v>
      </c>
      <c r="J4253" s="70">
        <v>0.99632352941176472</v>
      </c>
    </row>
    <row r="4254" spans="9:10" x14ac:dyDescent="0.3">
      <c r="I4254" s="72">
        <v>2126</v>
      </c>
      <c r="J4254" s="70">
        <v>0.99632352941176472</v>
      </c>
    </row>
    <row r="4255" spans="9:10" x14ac:dyDescent="0.3">
      <c r="I4255" s="72">
        <v>2126.5</v>
      </c>
      <c r="J4255" s="70">
        <v>0.99632352941176472</v>
      </c>
    </row>
    <row r="4256" spans="9:10" x14ac:dyDescent="0.3">
      <c r="I4256" s="72">
        <v>2127</v>
      </c>
      <c r="J4256" s="70">
        <v>0.99632352941176472</v>
      </c>
    </row>
    <row r="4257" spans="9:10" x14ac:dyDescent="0.3">
      <c r="I4257" s="72">
        <v>2127.5</v>
      </c>
      <c r="J4257" s="70">
        <v>0.99632352941176472</v>
      </c>
    </row>
    <row r="4258" spans="9:10" x14ac:dyDescent="0.3">
      <c r="I4258" s="72">
        <v>2128</v>
      </c>
      <c r="J4258" s="70">
        <v>0.99632352941176472</v>
      </c>
    </row>
    <row r="4259" spans="9:10" x14ac:dyDescent="0.3">
      <c r="I4259" s="72">
        <v>2128.5</v>
      </c>
      <c r="J4259" s="70">
        <v>0.99632352941176472</v>
      </c>
    </row>
    <row r="4260" spans="9:10" x14ac:dyDescent="0.3">
      <c r="I4260" s="72">
        <v>2129</v>
      </c>
      <c r="J4260" s="70">
        <v>0.99632352941176472</v>
      </c>
    </row>
    <row r="4261" spans="9:10" x14ac:dyDescent="0.3">
      <c r="I4261" s="72">
        <v>2129.5</v>
      </c>
      <c r="J4261" s="70">
        <v>0.99632352941176472</v>
      </c>
    </row>
    <row r="4262" spans="9:10" x14ac:dyDescent="0.3">
      <c r="I4262" s="72">
        <v>2130</v>
      </c>
      <c r="J4262" s="70">
        <v>0.99632352941176472</v>
      </c>
    </row>
    <row r="4263" spans="9:10" x14ac:dyDescent="0.3">
      <c r="I4263" s="72">
        <v>2130.5</v>
      </c>
      <c r="J4263" s="70">
        <v>0.99632352941176472</v>
      </c>
    </row>
    <row r="4264" spans="9:10" x14ac:dyDescent="0.3">
      <c r="I4264" s="72">
        <v>2131</v>
      </c>
      <c r="J4264" s="70">
        <v>0.99632352941176472</v>
      </c>
    </row>
    <row r="4265" spans="9:10" x14ac:dyDescent="0.3">
      <c r="I4265" s="72">
        <v>2131.5</v>
      </c>
      <c r="J4265" s="70">
        <v>0.99632352941176472</v>
      </c>
    </row>
    <row r="4266" spans="9:10" x14ac:dyDescent="0.3">
      <c r="I4266" s="72">
        <v>2132</v>
      </c>
      <c r="J4266" s="70">
        <v>0.99632352941176472</v>
      </c>
    </row>
    <row r="4267" spans="9:10" x14ac:dyDescent="0.3">
      <c r="I4267" s="72">
        <v>2132.5</v>
      </c>
      <c r="J4267" s="70">
        <v>0.99632352941176472</v>
      </c>
    </row>
    <row r="4268" spans="9:10" x14ac:dyDescent="0.3">
      <c r="I4268" s="72">
        <v>2133</v>
      </c>
      <c r="J4268" s="70">
        <v>0.99632352941176472</v>
      </c>
    </row>
    <row r="4269" spans="9:10" x14ac:dyDescent="0.3">
      <c r="I4269" s="72">
        <v>2133.5</v>
      </c>
      <c r="J4269" s="70">
        <v>0.99632352941176472</v>
      </c>
    </row>
    <row r="4270" spans="9:10" x14ac:dyDescent="0.3">
      <c r="I4270" s="72">
        <v>2134</v>
      </c>
      <c r="J4270" s="70">
        <v>0.99632352941176472</v>
      </c>
    </row>
    <row r="4271" spans="9:10" x14ac:dyDescent="0.3">
      <c r="I4271" s="72">
        <v>2134.5</v>
      </c>
      <c r="J4271" s="70">
        <v>0.99632352941176472</v>
      </c>
    </row>
    <row r="4272" spans="9:10" x14ac:dyDescent="0.3">
      <c r="I4272" s="72">
        <v>2135</v>
      </c>
      <c r="J4272" s="70">
        <v>0.99632352941176472</v>
      </c>
    </row>
    <row r="4273" spans="9:10" x14ac:dyDescent="0.3">
      <c r="I4273" s="72">
        <v>2135.5</v>
      </c>
      <c r="J4273" s="70">
        <v>0.99632352941176472</v>
      </c>
    </row>
    <row r="4274" spans="9:10" x14ac:dyDescent="0.3">
      <c r="I4274" s="72">
        <v>2136</v>
      </c>
      <c r="J4274" s="70">
        <v>0.99632352941176472</v>
      </c>
    </row>
    <row r="4275" spans="9:10" x14ac:dyDescent="0.3">
      <c r="I4275" s="72">
        <v>2136.5</v>
      </c>
      <c r="J4275" s="70">
        <v>0.99632352941176472</v>
      </c>
    </row>
    <row r="4276" spans="9:10" x14ac:dyDescent="0.3">
      <c r="I4276" s="72">
        <v>2137</v>
      </c>
      <c r="J4276" s="70">
        <v>0.99632352941176472</v>
      </c>
    </row>
    <row r="4277" spans="9:10" x14ac:dyDescent="0.3">
      <c r="I4277" s="72">
        <v>2137.5</v>
      </c>
      <c r="J4277" s="70">
        <v>0.99632352941176472</v>
      </c>
    </row>
    <row r="4278" spans="9:10" x14ac:dyDescent="0.3">
      <c r="I4278" s="72">
        <v>2138</v>
      </c>
      <c r="J4278" s="70">
        <v>0.99632352941176472</v>
      </c>
    </row>
    <row r="4279" spans="9:10" x14ac:dyDescent="0.3">
      <c r="I4279" s="72">
        <v>2138.5</v>
      </c>
      <c r="J4279" s="70">
        <v>0.99632352941176472</v>
      </c>
    </row>
    <row r="4280" spans="9:10" x14ac:dyDescent="0.3">
      <c r="I4280" s="72">
        <v>2139</v>
      </c>
      <c r="J4280" s="70">
        <v>0.99632352941176472</v>
      </c>
    </row>
    <row r="4281" spans="9:10" x14ac:dyDescent="0.3">
      <c r="I4281" s="72">
        <v>2139.5</v>
      </c>
      <c r="J4281" s="70">
        <v>0.99632352941176472</v>
      </c>
    </row>
    <row r="4282" spans="9:10" x14ac:dyDescent="0.3">
      <c r="I4282" s="72">
        <v>2140</v>
      </c>
      <c r="J4282" s="70">
        <v>0.99632352941176472</v>
      </c>
    </row>
    <row r="4283" spans="9:10" x14ac:dyDescent="0.3">
      <c r="I4283" s="72">
        <v>2140.5</v>
      </c>
      <c r="J4283" s="70">
        <v>0.99632352941176472</v>
      </c>
    </row>
    <row r="4284" spans="9:10" x14ac:dyDescent="0.3">
      <c r="I4284" s="72">
        <v>2141</v>
      </c>
      <c r="J4284" s="70">
        <v>0.99632352941176472</v>
      </c>
    </row>
    <row r="4285" spans="9:10" x14ac:dyDescent="0.3">
      <c r="I4285" s="72">
        <v>2141.5</v>
      </c>
      <c r="J4285" s="70">
        <v>0.99632352941176472</v>
      </c>
    </row>
    <row r="4286" spans="9:10" x14ac:dyDescent="0.3">
      <c r="I4286" s="72">
        <v>2142</v>
      </c>
      <c r="J4286" s="70">
        <v>0.99632352941176472</v>
      </c>
    </row>
    <row r="4287" spans="9:10" x14ac:dyDescent="0.3">
      <c r="I4287" s="72">
        <v>2142.5</v>
      </c>
      <c r="J4287" s="70">
        <v>0.99632352941176472</v>
      </c>
    </row>
    <row r="4288" spans="9:10" x14ac:dyDescent="0.3">
      <c r="I4288" s="72">
        <v>2143</v>
      </c>
      <c r="J4288" s="70">
        <v>0.99632352941176472</v>
      </c>
    </row>
    <row r="4289" spans="9:10" x14ac:dyDescent="0.3">
      <c r="I4289" s="72">
        <v>2143.5</v>
      </c>
      <c r="J4289" s="70">
        <v>0.99632352941176472</v>
      </c>
    </row>
    <row r="4290" spans="9:10" x14ac:dyDescent="0.3">
      <c r="I4290" s="72">
        <v>2144</v>
      </c>
      <c r="J4290" s="70">
        <v>0.99632352941176472</v>
      </c>
    </row>
    <row r="4291" spans="9:10" x14ac:dyDescent="0.3">
      <c r="I4291" s="72">
        <v>2144.5</v>
      </c>
      <c r="J4291" s="70">
        <v>0.99632352941176472</v>
      </c>
    </row>
    <row r="4292" spans="9:10" x14ac:dyDescent="0.3">
      <c r="I4292" s="72">
        <v>2145</v>
      </c>
      <c r="J4292" s="70">
        <v>0.99632352941176472</v>
      </c>
    </row>
    <row r="4293" spans="9:10" x14ac:dyDescent="0.3">
      <c r="I4293" s="72">
        <v>2145.5</v>
      </c>
      <c r="J4293" s="70">
        <v>0.99632352941176472</v>
      </c>
    </row>
    <row r="4294" spans="9:10" x14ac:dyDescent="0.3">
      <c r="I4294" s="72">
        <v>2146</v>
      </c>
      <c r="J4294" s="70">
        <v>0.99632352941176472</v>
      </c>
    </row>
    <row r="4295" spans="9:10" x14ac:dyDescent="0.3">
      <c r="I4295" s="72">
        <v>2146.5</v>
      </c>
      <c r="J4295" s="70">
        <v>0.99632352941176472</v>
      </c>
    </row>
    <row r="4296" spans="9:10" x14ac:dyDescent="0.3">
      <c r="I4296" s="72">
        <v>2147</v>
      </c>
      <c r="J4296" s="70">
        <v>0.99632352941176472</v>
      </c>
    </row>
    <row r="4297" spans="9:10" x14ac:dyDescent="0.3">
      <c r="I4297" s="72">
        <v>2147.5</v>
      </c>
      <c r="J4297" s="70">
        <v>0.99632352941176472</v>
      </c>
    </row>
    <row r="4298" spans="9:10" x14ac:dyDescent="0.3">
      <c r="I4298" s="72">
        <v>2148</v>
      </c>
      <c r="J4298" s="70">
        <v>0.99632352941176472</v>
      </c>
    </row>
    <row r="4299" spans="9:10" x14ac:dyDescent="0.3">
      <c r="I4299" s="72">
        <v>2148.5</v>
      </c>
      <c r="J4299" s="70">
        <v>0.99632352941176472</v>
      </c>
    </row>
    <row r="4300" spans="9:10" x14ac:dyDescent="0.3">
      <c r="I4300" s="72">
        <v>2149</v>
      </c>
      <c r="J4300" s="70">
        <v>0.99632352941176472</v>
      </c>
    </row>
    <row r="4301" spans="9:10" x14ac:dyDescent="0.3">
      <c r="I4301" s="72">
        <v>2149.5</v>
      </c>
      <c r="J4301" s="70">
        <v>0.99632352941176472</v>
      </c>
    </row>
    <row r="4302" spans="9:10" x14ac:dyDescent="0.3">
      <c r="I4302" s="72">
        <v>2150</v>
      </c>
      <c r="J4302" s="70">
        <v>0.99632352941176472</v>
      </c>
    </row>
    <row r="4303" spans="9:10" x14ac:dyDescent="0.3">
      <c r="I4303" s="72">
        <v>2150.5</v>
      </c>
      <c r="J4303" s="70">
        <v>0.99632352941176472</v>
      </c>
    </row>
    <row r="4304" spans="9:10" x14ac:dyDescent="0.3">
      <c r="I4304" s="72">
        <v>2151</v>
      </c>
      <c r="J4304" s="70">
        <v>0.99632352941176472</v>
      </c>
    </row>
    <row r="4305" spans="9:10" x14ac:dyDescent="0.3">
      <c r="I4305" s="72">
        <v>2151.5</v>
      </c>
      <c r="J4305" s="70">
        <v>0.99632352941176472</v>
      </c>
    </row>
    <row r="4306" spans="9:10" x14ac:dyDescent="0.3">
      <c r="I4306" s="72">
        <v>2152</v>
      </c>
      <c r="J4306" s="70">
        <v>0.99632352941176472</v>
      </c>
    </row>
    <row r="4307" spans="9:10" x14ac:dyDescent="0.3">
      <c r="I4307" s="72">
        <v>2152.5</v>
      </c>
      <c r="J4307" s="70">
        <v>0.99632352941176472</v>
      </c>
    </row>
    <row r="4308" spans="9:10" x14ac:dyDescent="0.3">
      <c r="I4308" s="72">
        <v>2153</v>
      </c>
      <c r="J4308" s="70">
        <v>0.99632352941176472</v>
      </c>
    </row>
    <row r="4309" spans="9:10" x14ac:dyDescent="0.3">
      <c r="I4309" s="72">
        <v>2153.5</v>
      </c>
      <c r="J4309" s="70">
        <v>0.99632352941176472</v>
      </c>
    </row>
    <row r="4310" spans="9:10" x14ac:dyDescent="0.3">
      <c r="I4310" s="72">
        <v>2154</v>
      </c>
      <c r="J4310" s="70">
        <v>0.99632352941176472</v>
      </c>
    </row>
    <row r="4311" spans="9:10" x14ac:dyDescent="0.3">
      <c r="I4311" s="72">
        <v>2154.5</v>
      </c>
      <c r="J4311" s="70">
        <v>0.99632352941176472</v>
      </c>
    </row>
    <row r="4312" spans="9:10" x14ac:dyDescent="0.3">
      <c r="I4312" s="72">
        <v>2155</v>
      </c>
      <c r="J4312" s="70">
        <v>0.99632352941176472</v>
      </c>
    </row>
    <row r="4313" spans="9:10" x14ac:dyDescent="0.3">
      <c r="I4313" s="72">
        <v>2155.5</v>
      </c>
      <c r="J4313" s="70">
        <v>0.99632352941176472</v>
      </c>
    </row>
    <row r="4314" spans="9:10" x14ac:dyDescent="0.3">
      <c r="I4314" s="72">
        <v>2156</v>
      </c>
      <c r="J4314" s="70">
        <v>0.99632352941176472</v>
      </c>
    </row>
    <row r="4315" spans="9:10" x14ac:dyDescent="0.3">
      <c r="I4315" s="72">
        <v>2156.5</v>
      </c>
      <c r="J4315" s="70">
        <v>0.99632352941176472</v>
      </c>
    </row>
    <row r="4316" spans="9:10" x14ac:dyDescent="0.3">
      <c r="I4316" s="72">
        <v>2157</v>
      </c>
      <c r="J4316" s="70">
        <v>0.99632352941176472</v>
      </c>
    </row>
    <row r="4317" spans="9:10" x14ac:dyDescent="0.3">
      <c r="I4317" s="72">
        <v>2157.5</v>
      </c>
      <c r="J4317" s="70">
        <v>0.99632352941176472</v>
      </c>
    </row>
    <row r="4318" spans="9:10" x14ac:dyDescent="0.3">
      <c r="I4318" s="72">
        <v>2158</v>
      </c>
      <c r="J4318" s="70">
        <v>0.99632352941176472</v>
      </c>
    </row>
    <row r="4319" spans="9:10" x14ac:dyDescent="0.3">
      <c r="I4319" s="72">
        <v>2158.5</v>
      </c>
      <c r="J4319" s="70">
        <v>0.99632352941176472</v>
      </c>
    </row>
    <row r="4320" spans="9:10" x14ac:dyDescent="0.3">
      <c r="I4320" s="72">
        <v>2159</v>
      </c>
      <c r="J4320" s="70">
        <v>0.99632352941176472</v>
      </c>
    </row>
    <row r="4321" spans="9:10" x14ac:dyDescent="0.3">
      <c r="I4321" s="72">
        <v>2159.5</v>
      </c>
      <c r="J4321" s="70">
        <v>0.99632352941176472</v>
      </c>
    </row>
    <row r="4322" spans="9:10" x14ac:dyDescent="0.3">
      <c r="I4322" s="72">
        <v>2160</v>
      </c>
      <c r="J4322" s="70">
        <v>0.99632352941176472</v>
      </c>
    </row>
    <row r="4323" spans="9:10" x14ac:dyDescent="0.3">
      <c r="I4323" s="72">
        <v>2160.5</v>
      </c>
      <c r="J4323" s="70">
        <v>0.99632352941176472</v>
      </c>
    </row>
    <row r="4324" spans="9:10" x14ac:dyDescent="0.3">
      <c r="I4324" s="72">
        <v>2161</v>
      </c>
      <c r="J4324" s="70">
        <v>0.99632352941176472</v>
      </c>
    </row>
    <row r="4325" spans="9:10" x14ac:dyDescent="0.3">
      <c r="I4325" s="72">
        <v>2161.5</v>
      </c>
      <c r="J4325" s="70">
        <v>0.99632352941176472</v>
      </c>
    </row>
    <row r="4326" spans="9:10" x14ac:dyDescent="0.3">
      <c r="I4326" s="72">
        <v>2162</v>
      </c>
      <c r="J4326" s="70">
        <v>0.99632352941176472</v>
      </c>
    </row>
    <row r="4327" spans="9:10" x14ac:dyDescent="0.3">
      <c r="I4327" s="72">
        <v>2162.5</v>
      </c>
      <c r="J4327" s="70">
        <v>0.99632352941176472</v>
      </c>
    </row>
    <row r="4328" spans="9:10" x14ac:dyDescent="0.3">
      <c r="I4328" s="72">
        <v>2163</v>
      </c>
      <c r="J4328" s="70">
        <v>0.99632352941176472</v>
      </c>
    </row>
    <row r="4329" spans="9:10" x14ac:dyDescent="0.3">
      <c r="I4329" s="72">
        <v>2163.5</v>
      </c>
      <c r="J4329" s="70">
        <v>0.99632352941176472</v>
      </c>
    </row>
    <row r="4330" spans="9:10" x14ac:dyDescent="0.3">
      <c r="I4330" s="72">
        <v>2164</v>
      </c>
      <c r="J4330" s="70">
        <v>0.99632352941176472</v>
      </c>
    </row>
    <row r="4331" spans="9:10" x14ac:dyDescent="0.3">
      <c r="I4331" s="72">
        <v>2164.5</v>
      </c>
      <c r="J4331" s="70">
        <v>0.99632352941176472</v>
      </c>
    </row>
    <row r="4332" spans="9:10" x14ac:dyDescent="0.3">
      <c r="I4332" s="72">
        <v>2165</v>
      </c>
      <c r="J4332" s="70">
        <v>0.99632352941176472</v>
      </c>
    </row>
    <row r="4333" spans="9:10" x14ac:dyDescent="0.3">
      <c r="I4333" s="72">
        <v>2165.5</v>
      </c>
      <c r="J4333" s="70">
        <v>0.99632352941176472</v>
      </c>
    </row>
    <row r="4334" spans="9:10" x14ac:dyDescent="0.3">
      <c r="I4334" s="72">
        <v>2166</v>
      </c>
      <c r="J4334" s="70">
        <v>0.99632352941176472</v>
      </c>
    </row>
    <row r="4335" spans="9:10" x14ac:dyDescent="0.3">
      <c r="I4335" s="72">
        <v>2166.5</v>
      </c>
      <c r="J4335" s="70">
        <v>0.99632352941176472</v>
      </c>
    </row>
    <row r="4336" spans="9:10" x14ac:dyDescent="0.3">
      <c r="I4336" s="72">
        <v>2167</v>
      </c>
      <c r="J4336" s="70">
        <v>0.99632352941176472</v>
      </c>
    </row>
    <row r="4337" spans="9:10" x14ac:dyDescent="0.3">
      <c r="I4337" s="72">
        <v>2167.5</v>
      </c>
      <c r="J4337" s="70">
        <v>0.99632352941176472</v>
      </c>
    </row>
    <row r="4338" spans="9:10" x14ac:dyDescent="0.3">
      <c r="I4338" s="72">
        <v>2168</v>
      </c>
      <c r="J4338" s="70">
        <v>0.99632352941176472</v>
      </c>
    </row>
    <row r="4339" spans="9:10" x14ac:dyDescent="0.3">
      <c r="I4339" s="72">
        <v>2168.5</v>
      </c>
      <c r="J4339" s="70">
        <v>0.99632352941176472</v>
      </c>
    </row>
    <row r="4340" spans="9:10" x14ac:dyDescent="0.3">
      <c r="I4340" s="72">
        <v>2169</v>
      </c>
      <c r="J4340" s="70">
        <v>0.99632352941176472</v>
      </c>
    </row>
    <row r="4341" spans="9:10" x14ac:dyDescent="0.3">
      <c r="I4341" s="72">
        <v>2169.5</v>
      </c>
      <c r="J4341" s="70">
        <v>0.99632352941176472</v>
      </c>
    </row>
    <row r="4342" spans="9:10" x14ac:dyDescent="0.3">
      <c r="I4342" s="72">
        <v>2170</v>
      </c>
      <c r="J4342" s="70">
        <v>0.99632352941176472</v>
      </c>
    </row>
    <row r="4343" spans="9:10" x14ac:dyDescent="0.3">
      <c r="I4343" s="72">
        <v>2170.5</v>
      </c>
      <c r="J4343" s="70">
        <v>0.99632352941176472</v>
      </c>
    </row>
    <row r="4344" spans="9:10" x14ac:dyDescent="0.3">
      <c r="I4344" s="72">
        <v>2171</v>
      </c>
      <c r="J4344" s="70">
        <v>0.99632352941176472</v>
      </c>
    </row>
    <row r="4345" spans="9:10" x14ac:dyDescent="0.3">
      <c r="I4345" s="72">
        <v>2171.5</v>
      </c>
      <c r="J4345" s="70">
        <v>0.99632352941176472</v>
      </c>
    </row>
    <row r="4346" spans="9:10" x14ac:dyDescent="0.3">
      <c r="I4346" s="72">
        <v>2172</v>
      </c>
      <c r="J4346" s="70">
        <v>0.99632352941176472</v>
      </c>
    </row>
    <row r="4347" spans="9:10" x14ac:dyDescent="0.3">
      <c r="I4347" s="72">
        <v>2172.5</v>
      </c>
      <c r="J4347" s="70">
        <v>0.99632352941176472</v>
      </c>
    </row>
    <row r="4348" spans="9:10" x14ac:dyDescent="0.3">
      <c r="I4348" s="72">
        <v>2173</v>
      </c>
      <c r="J4348" s="70">
        <v>0.99632352941176472</v>
      </c>
    </row>
    <row r="4349" spans="9:10" x14ac:dyDescent="0.3">
      <c r="I4349" s="72">
        <v>2173.5</v>
      </c>
      <c r="J4349" s="70">
        <v>0.99632352941176472</v>
      </c>
    </row>
    <row r="4350" spans="9:10" x14ac:dyDescent="0.3">
      <c r="I4350" s="72">
        <v>2174</v>
      </c>
      <c r="J4350" s="70">
        <v>0.99632352941176472</v>
      </c>
    </row>
    <row r="4351" spans="9:10" x14ac:dyDescent="0.3">
      <c r="I4351" s="72">
        <v>2174.5</v>
      </c>
      <c r="J4351" s="70">
        <v>0.99632352941176472</v>
      </c>
    </row>
    <row r="4352" spans="9:10" x14ac:dyDescent="0.3">
      <c r="I4352" s="72">
        <v>2175</v>
      </c>
      <c r="J4352" s="70">
        <v>0.99632352941176472</v>
      </c>
    </row>
    <row r="4353" spans="9:10" x14ac:dyDescent="0.3">
      <c r="I4353" s="72">
        <v>2175.5</v>
      </c>
      <c r="J4353" s="70">
        <v>0.99632352941176472</v>
      </c>
    </row>
    <row r="4354" spans="9:10" x14ac:dyDescent="0.3">
      <c r="I4354" s="72">
        <v>2176</v>
      </c>
      <c r="J4354" s="70">
        <v>0.99632352941176472</v>
      </c>
    </row>
    <row r="4355" spans="9:10" x14ac:dyDescent="0.3">
      <c r="I4355" s="72">
        <v>2176.5</v>
      </c>
      <c r="J4355" s="70">
        <v>0.99632352941176472</v>
      </c>
    </row>
    <row r="4356" spans="9:10" x14ac:dyDescent="0.3">
      <c r="I4356" s="72">
        <v>2177</v>
      </c>
      <c r="J4356" s="70">
        <v>0.99632352941176472</v>
      </c>
    </row>
    <row r="4357" spans="9:10" x14ac:dyDescent="0.3">
      <c r="I4357" s="72">
        <v>2177.5</v>
      </c>
      <c r="J4357" s="70">
        <v>0.99632352941176472</v>
      </c>
    </row>
    <row r="4358" spans="9:10" x14ac:dyDescent="0.3">
      <c r="I4358" s="72">
        <v>2178</v>
      </c>
      <c r="J4358" s="70">
        <v>0.99632352941176472</v>
      </c>
    </row>
    <row r="4359" spans="9:10" x14ac:dyDescent="0.3">
      <c r="I4359" s="72">
        <v>2178.5</v>
      </c>
      <c r="J4359" s="70">
        <v>0.99632352941176472</v>
      </c>
    </row>
    <row r="4360" spans="9:10" x14ac:dyDescent="0.3">
      <c r="I4360" s="72">
        <v>2179</v>
      </c>
      <c r="J4360" s="70">
        <v>0.99632352941176472</v>
      </c>
    </row>
    <row r="4361" spans="9:10" x14ac:dyDescent="0.3">
      <c r="I4361" s="72">
        <v>2179.5</v>
      </c>
      <c r="J4361" s="70">
        <v>0.99632352941176472</v>
      </c>
    </row>
    <row r="4362" spans="9:10" x14ac:dyDescent="0.3">
      <c r="I4362" s="72">
        <v>2180</v>
      </c>
      <c r="J4362" s="70">
        <v>0.99632352941176472</v>
      </c>
    </row>
    <row r="4363" spans="9:10" x14ac:dyDescent="0.3">
      <c r="I4363" s="72">
        <v>2180.5</v>
      </c>
      <c r="J4363" s="70">
        <v>0.99632352941176472</v>
      </c>
    </row>
    <row r="4364" spans="9:10" x14ac:dyDescent="0.3">
      <c r="I4364" s="72">
        <v>2181</v>
      </c>
      <c r="J4364" s="70">
        <v>0.99632352941176472</v>
      </c>
    </row>
    <row r="4365" spans="9:10" x14ac:dyDescent="0.3">
      <c r="I4365" s="72">
        <v>2181.5</v>
      </c>
      <c r="J4365" s="70">
        <v>0.99632352941176472</v>
      </c>
    </row>
    <row r="4366" spans="9:10" x14ac:dyDescent="0.3">
      <c r="I4366" s="72">
        <v>2182</v>
      </c>
      <c r="J4366" s="70">
        <v>0.99632352941176472</v>
      </c>
    </row>
    <row r="4367" spans="9:10" x14ac:dyDescent="0.3">
      <c r="I4367" s="72">
        <v>2182.5</v>
      </c>
      <c r="J4367" s="70">
        <v>0.99632352941176472</v>
      </c>
    </row>
    <row r="4368" spans="9:10" x14ac:dyDescent="0.3">
      <c r="I4368" s="72">
        <v>2183</v>
      </c>
      <c r="J4368" s="70">
        <v>0.99632352941176472</v>
      </c>
    </row>
    <row r="4369" spans="9:10" x14ac:dyDescent="0.3">
      <c r="I4369" s="72">
        <v>2183.5</v>
      </c>
      <c r="J4369" s="70">
        <v>0.99632352941176472</v>
      </c>
    </row>
    <row r="4370" spans="9:10" x14ac:dyDescent="0.3">
      <c r="I4370" s="72">
        <v>2184</v>
      </c>
      <c r="J4370" s="70">
        <v>0.99632352941176472</v>
      </c>
    </row>
    <row r="4371" spans="9:10" x14ac:dyDescent="0.3">
      <c r="I4371" s="72">
        <v>2184.5</v>
      </c>
      <c r="J4371" s="70">
        <v>0.99632352941176472</v>
      </c>
    </row>
    <row r="4372" spans="9:10" x14ac:dyDescent="0.3">
      <c r="I4372" s="72">
        <v>2185</v>
      </c>
      <c r="J4372" s="70">
        <v>0.99632352941176472</v>
      </c>
    </row>
    <row r="4373" spans="9:10" x14ac:dyDescent="0.3">
      <c r="I4373" s="72">
        <v>2185.5</v>
      </c>
      <c r="J4373" s="70">
        <v>0.99632352941176472</v>
      </c>
    </row>
    <row r="4374" spans="9:10" x14ac:dyDescent="0.3">
      <c r="I4374" s="72">
        <v>2186</v>
      </c>
      <c r="J4374" s="70">
        <v>0.99632352941176472</v>
      </c>
    </row>
    <row r="4375" spans="9:10" x14ac:dyDescent="0.3">
      <c r="I4375" s="72">
        <v>2186.5</v>
      </c>
      <c r="J4375" s="70">
        <v>0.99632352941176472</v>
      </c>
    </row>
    <row r="4376" spans="9:10" x14ac:dyDescent="0.3">
      <c r="I4376" s="72">
        <v>2187</v>
      </c>
      <c r="J4376" s="70">
        <v>0.99632352941176472</v>
      </c>
    </row>
    <row r="4377" spans="9:10" x14ac:dyDescent="0.3">
      <c r="I4377" s="72">
        <v>2187.5</v>
      </c>
      <c r="J4377" s="70">
        <v>0.99632352941176472</v>
      </c>
    </row>
    <row r="4378" spans="9:10" x14ac:dyDescent="0.3">
      <c r="I4378" s="72">
        <v>2188</v>
      </c>
      <c r="J4378" s="70">
        <v>0.99632352941176472</v>
      </c>
    </row>
    <row r="4379" spans="9:10" x14ac:dyDescent="0.3">
      <c r="I4379" s="72">
        <v>2188.5</v>
      </c>
      <c r="J4379" s="70">
        <v>0.99632352941176472</v>
      </c>
    </row>
    <row r="4380" spans="9:10" x14ac:dyDescent="0.3">
      <c r="I4380" s="72">
        <v>2189</v>
      </c>
      <c r="J4380" s="70">
        <v>0.99632352941176472</v>
      </c>
    </row>
    <row r="4381" spans="9:10" x14ac:dyDescent="0.3">
      <c r="I4381" s="72">
        <v>2189.5</v>
      </c>
      <c r="J4381" s="70">
        <v>0.99632352941176472</v>
      </c>
    </row>
    <row r="4382" spans="9:10" x14ac:dyDescent="0.3">
      <c r="I4382" s="72">
        <v>2190</v>
      </c>
      <c r="J4382" s="70">
        <v>0.99632352941176472</v>
      </c>
    </row>
    <row r="4383" spans="9:10" x14ac:dyDescent="0.3">
      <c r="I4383" s="72">
        <v>2190.5</v>
      </c>
      <c r="J4383" s="70">
        <v>0.99632352941176472</v>
      </c>
    </row>
    <row r="4384" spans="9:10" x14ac:dyDescent="0.3">
      <c r="I4384" s="72">
        <v>2191</v>
      </c>
      <c r="J4384" s="70">
        <v>0.99632352941176472</v>
      </c>
    </row>
    <row r="4385" spans="9:10" x14ac:dyDescent="0.3">
      <c r="I4385" s="72">
        <v>2191.5</v>
      </c>
      <c r="J4385" s="70">
        <v>0.99632352941176472</v>
      </c>
    </row>
    <row r="4386" spans="9:10" x14ac:dyDescent="0.3">
      <c r="I4386" s="72">
        <v>2192</v>
      </c>
      <c r="J4386" s="70">
        <v>0.99632352941176472</v>
      </c>
    </row>
    <row r="4387" spans="9:10" x14ac:dyDescent="0.3">
      <c r="I4387" s="72">
        <v>2192.5</v>
      </c>
      <c r="J4387" s="70">
        <v>0.99632352941176472</v>
      </c>
    </row>
    <row r="4388" spans="9:10" x14ac:dyDescent="0.3">
      <c r="I4388" s="72">
        <v>2193</v>
      </c>
      <c r="J4388" s="70">
        <v>0.99632352941176472</v>
      </c>
    </row>
    <row r="4389" spans="9:10" x14ac:dyDescent="0.3">
      <c r="I4389" s="72">
        <v>2193.5</v>
      </c>
      <c r="J4389" s="70">
        <v>0.99632352941176472</v>
      </c>
    </row>
    <row r="4390" spans="9:10" x14ac:dyDescent="0.3">
      <c r="I4390" s="72">
        <v>2194</v>
      </c>
      <c r="J4390" s="70">
        <v>0.99632352941176472</v>
      </c>
    </row>
    <row r="4391" spans="9:10" x14ac:dyDescent="0.3">
      <c r="I4391" s="72">
        <v>2194.5</v>
      </c>
      <c r="J4391" s="70">
        <v>0.99632352941176472</v>
      </c>
    </row>
    <row r="4392" spans="9:10" x14ac:dyDescent="0.3">
      <c r="I4392" s="72">
        <v>2195</v>
      </c>
      <c r="J4392" s="70">
        <v>0.99632352941176472</v>
      </c>
    </row>
    <row r="4393" spans="9:10" x14ac:dyDescent="0.3">
      <c r="I4393" s="72">
        <v>2195.5</v>
      </c>
      <c r="J4393" s="70">
        <v>0.99632352941176472</v>
      </c>
    </row>
    <row r="4394" spans="9:10" x14ac:dyDescent="0.3">
      <c r="I4394" s="72">
        <v>2196</v>
      </c>
      <c r="J4394" s="70">
        <v>0.99632352941176472</v>
      </c>
    </row>
    <row r="4395" spans="9:10" x14ac:dyDescent="0.3">
      <c r="I4395" s="72">
        <v>2196.5</v>
      </c>
      <c r="J4395" s="70">
        <v>0.99632352941176472</v>
      </c>
    </row>
    <row r="4396" spans="9:10" x14ac:dyDescent="0.3">
      <c r="I4396" s="72">
        <v>2197</v>
      </c>
      <c r="J4396" s="70">
        <v>0.99632352941176472</v>
      </c>
    </row>
    <row r="4397" spans="9:10" x14ac:dyDescent="0.3">
      <c r="I4397" s="72">
        <v>2197.5</v>
      </c>
      <c r="J4397" s="70">
        <v>0.99632352941176472</v>
      </c>
    </row>
    <row r="4398" spans="9:10" x14ac:dyDescent="0.3">
      <c r="I4398" s="72">
        <v>2198</v>
      </c>
      <c r="J4398" s="70">
        <v>0.99632352941176472</v>
      </c>
    </row>
    <row r="4399" spans="9:10" x14ac:dyDescent="0.3">
      <c r="I4399" s="72">
        <v>2198.5</v>
      </c>
      <c r="J4399" s="70">
        <v>0.99632352941176472</v>
      </c>
    </row>
    <row r="4400" spans="9:10" x14ac:dyDescent="0.3">
      <c r="I4400" s="72">
        <v>2199</v>
      </c>
      <c r="J4400" s="70">
        <v>0.99632352941176472</v>
      </c>
    </row>
    <row r="4401" spans="9:10" x14ac:dyDescent="0.3">
      <c r="I4401" s="72">
        <v>2199.5</v>
      </c>
      <c r="J4401" s="70">
        <v>0.99632352941176472</v>
      </c>
    </row>
    <row r="4402" spans="9:10" x14ac:dyDescent="0.3">
      <c r="I4402" s="72">
        <v>2200</v>
      </c>
      <c r="J4402" s="70">
        <v>0.99632352941176472</v>
      </c>
    </row>
    <row r="4403" spans="9:10" x14ac:dyDescent="0.3">
      <c r="I4403" s="72">
        <v>2200.5</v>
      </c>
      <c r="J4403" s="70">
        <v>0.99632352941176472</v>
      </c>
    </row>
    <row r="4404" spans="9:10" x14ac:dyDescent="0.3">
      <c r="I4404" s="72">
        <v>2201</v>
      </c>
      <c r="J4404" s="70">
        <v>0.99632352941176472</v>
      </c>
    </row>
    <row r="4405" spans="9:10" x14ac:dyDescent="0.3">
      <c r="I4405" s="72">
        <v>2201.5</v>
      </c>
      <c r="J4405" s="70">
        <v>0.99632352941176472</v>
      </c>
    </row>
    <row r="4406" spans="9:10" x14ac:dyDescent="0.3">
      <c r="I4406" s="72">
        <v>2202</v>
      </c>
      <c r="J4406" s="70">
        <v>0.99632352941176472</v>
      </c>
    </row>
    <row r="4407" spans="9:10" x14ac:dyDescent="0.3">
      <c r="I4407" s="72">
        <v>2202.5</v>
      </c>
      <c r="J4407" s="70">
        <v>0.99632352941176472</v>
      </c>
    </row>
    <row r="4408" spans="9:10" x14ac:dyDescent="0.3">
      <c r="I4408" s="72">
        <v>2203</v>
      </c>
      <c r="J4408" s="70">
        <v>0.99632352941176472</v>
      </c>
    </row>
    <row r="4409" spans="9:10" x14ac:dyDescent="0.3">
      <c r="I4409" s="72">
        <v>2203.5</v>
      </c>
      <c r="J4409" s="70">
        <v>0.99632352941176472</v>
      </c>
    </row>
    <row r="4410" spans="9:10" x14ac:dyDescent="0.3">
      <c r="I4410" s="72">
        <v>2204</v>
      </c>
      <c r="J4410" s="70">
        <v>0.99632352941176472</v>
      </c>
    </row>
    <row r="4411" spans="9:10" x14ac:dyDescent="0.3">
      <c r="I4411" s="72">
        <v>2204.5</v>
      </c>
      <c r="J4411" s="70">
        <v>0.99632352941176472</v>
      </c>
    </row>
    <row r="4412" spans="9:10" x14ac:dyDescent="0.3">
      <c r="I4412" s="72">
        <v>2205</v>
      </c>
      <c r="J4412" s="70">
        <v>0.99632352941176472</v>
      </c>
    </row>
    <row r="4413" spans="9:10" x14ac:dyDescent="0.3">
      <c r="I4413" s="72">
        <v>2205.5</v>
      </c>
      <c r="J4413" s="70">
        <v>0.99632352941176472</v>
      </c>
    </row>
    <row r="4414" spans="9:10" x14ac:dyDescent="0.3">
      <c r="I4414" s="72">
        <v>2206</v>
      </c>
      <c r="J4414" s="70">
        <v>0.99632352941176472</v>
      </c>
    </row>
    <row r="4415" spans="9:10" x14ac:dyDescent="0.3">
      <c r="I4415" s="72">
        <v>2206.5</v>
      </c>
      <c r="J4415" s="70">
        <v>0.99632352941176472</v>
      </c>
    </row>
    <row r="4416" spans="9:10" x14ac:dyDescent="0.3">
      <c r="I4416" s="72">
        <v>2207</v>
      </c>
      <c r="J4416" s="70">
        <v>0.99632352941176472</v>
      </c>
    </row>
    <row r="4417" spans="9:10" x14ac:dyDescent="0.3">
      <c r="I4417" s="72">
        <v>2207.5</v>
      </c>
      <c r="J4417" s="70">
        <v>0.99632352941176472</v>
      </c>
    </row>
    <row r="4418" spans="9:10" x14ac:dyDescent="0.3">
      <c r="I4418" s="72">
        <v>2208</v>
      </c>
      <c r="J4418" s="70">
        <v>0.99632352941176472</v>
      </c>
    </row>
    <row r="4419" spans="9:10" x14ac:dyDescent="0.3">
      <c r="I4419" s="72">
        <v>2208.5</v>
      </c>
      <c r="J4419" s="70">
        <v>0.99632352941176472</v>
      </c>
    </row>
    <row r="4420" spans="9:10" x14ac:dyDescent="0.3">
      <c r="I4420" s="72">
        <v>2209</v>
      </c>
      <c r="J4420" s="70">
        <v>0.99632352941176472</v>
      </c>
    </row>
    <row r="4421" spans="9:10" x14ac:dyDescent="0.3">
      <c r="I4421" s="72">
        <v>2209.5</v>
      </c>
      <c r="J4421" s="70">
        <v>0.99632352941176472</v>
      </c>
    </row>
    <row r="4422" spans="9:10" x14ac:dyDescent="0.3">
      <c r="I4422" s="72">
        <v>2210</v>
      </c>
      <c r="J4422" s="70">
        <v>0.99632352941176472</v>
      </c>
    </row>
    <row r="4423" spans="9:10" x14ac:dyDescent="0.3">
      <c r="I4423" s="72">
        <v>2210.5</v>
      </c>
      <c r="J4423" s="70">
        <v>0.99632352941176472</v>
      </c>
    </row>
    <row r="4424" spans="9:10" x14ac:dyDescent="0.3">
      <c r="I4424" s="72">
        <v>2211</v>
      </c>
      <c r="J4424" s="70">
        <v>0.99632352941176472</v>
      </c>
    </row>
    <row r="4425" spans="9:10" x14ac:dyDescent="0.3">
      <c r="I4425" s="72">
        <v>2211.5</v>
      </c>
      <c r="J4425" s="70">
        <v>0.99632352941176472</v>
      </c>
    </row>
    <row r="4426" spans="9:10" x14ac:dyDescent="0.3">
      <c r="I4426" s="72">
        <v>2212</v>
      </c>
      <c r="J4426" s="70">
        <v>0.99632352941176472</v>
      </c>
    </row>
    <row r="4427" spans="9:10" x14ac:dyDescent="0.3">
      <c r="I4427" s="72">
        <v>2212.5</v>
      </c>
      <c r="J4427" s="70">
        <v>0.99632352941176472</v>
      </c>
    </row>
    <row r="4428" spans="9:10" x14ac:dyDescent="0.3">
      <c r="I4428" s="72">
        <v>2213</v>
      </c>
      <c r="J4428" s="70">
        <v>0.99632352941176472</v>
      </c>
    </row>
    <row r="4429" spans="9:10" x14ac:dyDescent="0.3">
      <c r="I4429" s="72">
        <v>2213.5</v>
      </c>
      <c r="J4429" s="70">
        <v>0.99632352941176472</v>
      </c>
    </row>
    <row r="4430" spans="9:10" x14ac:dyDescent="0.3">
      <c r="I4430" s="72">
        <v>2214</v>
      </c>
      <c r="J4430" s="70">
        <v>0.99632352941176472</v>
      </c>
    </row>
    <row r="4431" spans="9:10" x14ac:dyDescent="0.3">
      <c r="I4431" s="72">
        <v>2214.5</v>
      </c>
      <c r="J4431" s="70">
        <v>0.99632352941176472</v>
      </c>
    </row>
    <row r="4432" spans="9:10" x14ac:dyDescent="0.3">
      <c r="I4432" s="72">
        <v>2215</v>
      </c>
      <c r="J4432" s="70">
        <v>0.99632352941176472</v>
      </c>
    </row>
    <row r="4433" spans="9:10" x14ac:dyDescent="0.3">
      <c r="I4433" s="72">
        <v>2215.5</v>
      </c>
      <c r="J4433" s="70">
        <v>0.99632352941176472</v>
      </c>
    </row>
    <row r="4434" spans="9:10" x14ac:dyDescent="0.3">
      <c r="I4434" s="72">
        <v>2216</v>
      </c>
      <c r="J4434" s="70">
        <v>0.99632352941176472</v>
      </c>
    </row>
    <row r="4435" spans="9:10" x14ac:dyDescent="0.3">
      <c r="I4435" s="72">
        <v>2216.5</v>
      </c>
      <c r="J4435" s="70">
        <v>0.99632352941176472</v>
      </c>
    </row>
    <row r="4436" spans="9:10" x14ac:dyDescent="0.3">
      <c r="I4436" s="72">
        <v>2217</v>
      </c>
      <c r="J4436" s="70">
        <v>0.99632352941176472</v>
      </c>
    </row>
    <row r="4437" spans="9:10" x14ac:dyDescent="0.3">
      <c r="I4437" s="72">
        <v>2217.5</v>
      </c>
      <c r="J4437" s="70">
        <v>0.99632352941176472</v>
      </c>
    </row>
    <row r="4438" spans="9:10" x14ac:dyDescent="0.3">
      <c r="I4438" s="72">
        <v>2218</v>
      </c>
      <c r="J4438" s="70">
        <v>0.99632352941176472</v>
      </c>
    </row>
    <row r="4439" spans="9:10" x14ac:dyDescent="0.3">
      <c r="I4439" s="72">
        <v>2218.5</v>
      </c>
      <c r="J4439" s="70">
        <v>0.99632352941176472</v>
      </c>
    </row>
    <row r="4440" spans="9:10" x14ac:dyDescent="0.3">
      <c r="I4440" s="72">
        <v>2219</v>
      </c>
      <c r="J4440" s="70">
        <v>0.99632352941176472</v>
      </c>
    </row>
    <row r="4441" spans="9:10" x14ac:dyDescent="0.3">
      <c r="I4441" s="72">
        <v>2219.5</v>
      </c>
      <c r="J4441" s="70">
        <v>0.99632352941176472</v>
      </c>
    </row>
    <row r="4442" spans="9:10" x14ac:dyDescent="0.3">
      <c r="I4442" s="72">
        <v>2220</v>
      </c>
      <c r="J4442" s="70">
        <v>0.99632352941176472</v>
      </c>
    </row>
    <row r="4443" spans="9:10" x14ac:dyDescent="0.3">
      <c r="I4443" s="72">
        <v>2220.5</v>
      </c>
      <c r="J4443" s="70">
        <v>0.99632352941176472</v>
      </c>
    </row>
    <row r="4444" spans="9:10" x14ac:dyDescent="0.3">
      <c r="I4444" s="72">
        <v>2221</v>
      </c>
      <c r="J4444" s="70">
        <v>0.99632352941176472</v>
      </c>
    </row>
    <row r="4445" spans="9:10" x14ac:dyDescent="0.3">
      <c r="I4445" s="72">
        <v>2221.5</v>
      </c>
      <c r="J4445" s="70">
        <v>0.99632352941176472</v>
      </c>
    </row>
    <row r="4446" spans="9:10" x14ac:dyDescent="0.3">
      <c r="I4446" s="72">
        <v>2222</v>
      </c>
      <c r="J4446" s="70">
        <v>0.99632352941176472</v>
      </c>
    </row>
    <row r="4447" spans="9:10" x14ac:dyDescent="0.3">
      <c r="I4447" s="72">
        <v>2222.5</v>
      </c>
      <c r="J4447" s="70">
        <v>0.99632352941176472</v>
      </c>
    </row>
    <row r="4448" spans="9:10" x14ac:dyDescent="0.3">
      <c r="I4448" s="72">
        <v>2223</v>
      </c>
      <c r="J4448" s="70">
        <v>0.99632352941176472</v>
      </c>
    </row>
    <row r="4449" spans="9:10" x14ac:dyDescent="0.3">
      <c r="I4449" s="72">
        <v>2223.5</v>
      </c>
      <c r="J4449" s="70">
        <v>0.99632352941176472</v>
      </c>
    </row>
    <row r="4450" spans="9:10" x14ac:dyDescent="0.3">
      <c r="I4450" s="72">
        <v>2224</v>
      </c>
      <c r="J4450" s="70">
        <v>0.99632352941176472</v>
      </c>
    </row>
    <row r="4451" spans="9:10" x14ac:dyDescent="0.3">
      <c r="I4451" s="72">
        <v>2224.5</v>
      </c>
      <c r="J4451" s="70">
        <v>0.99632352941176472</v>
      </c>
    </row>
    <row r="4452" spans="9:10" x14ac:dyDescent="0.3">
      <c r="I4452" s="72">
        <v>2225</v>
      </c>
      <c r="J4452" s="70">
        <v>0.99632352941176472</v>
      </c>
    </row>
    <row r="4453" spans="9:10" x14ac:dyDescent="0.3">
      <c r="I4453" s="72">
        <v>2225.5</v>
      </c>
      <c r="J4453" s="70">
        <v>0.99632352941176472</v>
      </c>
    </row>
    <row r="4454" spans="9:10" x14ac:dyDescent="0.3">
      <c r="I4454" s="72">
        <v>2226</v>
      </c>
      <c r="J4454" s="70">
        <v>0.99632352941176472</v>
      </c>
    </row>
    <row r="4455" spans="9:10" x14ac:dyDescent="0.3">
      <c r="I4455" s="72">
        <v>2226.5</v>
      </c>
      <c r="J4455" s="70">
        <v>0.99632352941176472</v>
      </c>
    </row>
    <row r="4456" spans="9:10" x14ac:dyDescent="0.3">
      <c r="I4456" s="72">
        <v>2227</v>
      </c>
      <c r="J4456" s="70">
        <v>0.99632352941176472</v>
      </c>
    </row>
    <row r="4457" spans="9:10" x14ac:dyDescent="0.3">
      <c r="I4457" s="72">
        <v>2227.5</v>
      </c>
      <c r="J4457" s="70">
        <v>0.99632352941176472</v>
      </c>
    </row>
    <row r="4458" spans="9:10" x14ac:dyDescent="0.3">
      <c r="I4458" s="72">
        <v>2228</v>
      </c>
      <c r="J4458" s="70">
        <v>0.99632352941176472</v>
      </c>
    </row>
    <row r="4459" spans="9:10" x14ac:dyDescent="0.3">
      <c r="I4459" s="72">
        <v>2228.5</v>
      </c>
      <c r="J4459" s="70">
        <v>0.99632352941176472</v>
      </c>
    </row>
    <row r="4460" spans="9:10" x14ac:dyDescent="0.3">
      <c r="I4460" s="72">
        <v>2229</v>
      </c>
      <c r="J4460" s="70">
        <v>0.99632352941176472</v>
      </c>
    </row>
    <row r="4461" spans="9:10" x14ac:dyDescent="0.3">
      <c r="I4461" s="72">
        <v>2229.5</v>
      </c>
      <c r="J4461" s="70">
        <v>0.99632352941176472</v>
      </c>
    </row>
    <row r="4462" spans="9:10" x14ac:dyDescent="0.3">
      <c r="I4462" s="72">
        <v>2230</v>
      </c>
      <c r="J4462" s="70">
        <v>0.99632352941176472</v>
      </c>
    </row>
    <row r="4463" spans="9:10" x14ac:dyDescent="0.3">
      <c r="I4463" s="72">
        <v>2230.5</v>
      </c>
      <c r="J4463" s="70">
        <v>0.99632352941176472</v>
      </c>
    </row>
    <row r="4464" spans="9:10" x14ac:dyDescent="0.3">
      <c r="I4464" s="72">
        <v>2231</v>
      </c>
      <c r="J4464" s="70">
        <v>0.99632352941176472</v>
      </c>
    </row>
    <row r="4465" spans="9:10" x14ac:dyDescent="0.3">
      <c r="I4465" s="72">
        <v>2231.5</v>
      </c>
      <c r="J4465" s="70">
        <v>0.99632352941176472</v>
      </c>
    </row>
    <row r="4466" spans="9:10" x14ac:dyDescent="0.3">
      <c r="I4466" s="72">
        <v>2232</v>
      </c>
      <c r="J4466" s="70">
        <v>0.99632352941176472</v>
      </c>
    </row>
    <row r="4467" spans="9:10" x14ac:dyDescent="0.3">
      <c r="I4467" s="72">
        <v>2232.5</v>
      </c>
      <c r="J4467" s="70">
        <v>0.99632352941176472</v>
      </c>
    </row>
    <row r="4468" spans="9:10" x14ac:dyDescent="0.3">
      <c r="I4468" s="72">
        <v>2233</v>
      </c>
      <c r="J4468" s="70">
        <v>0.99632352941176472</v>
      </c>
    </row>
    <row r="4469" spans="9:10" x14ac:dyDescent="0.3">
      <c r="I4469" s="72">
        <v>2233.5</v>
      </c>
      <c r="J4469" s="70">
        <v>0.99632352941176472</v>
      </c>
    </row>
    <row r="4470" spans="9:10" x14ac:dyDescent="0.3">
      <c r="I4470" s="72">
        <v>2234</v>
      </c>
      <c r="J4470" s="70">
        <v>0.99632352941176472</v>
      </c>
    </row>
    <row r="4471" spans="9:10" x14ac:dyDescent="0.3">
      <c r="I4471" s="72">
        <v>2234.5</v>
      </c>
      <c r="J4471" s="70">
        <v>0.99632352941176472</v>
      </c>
    </row>
    <row r="4472" spans="9:10" x14ac:dyDescent="0.3">
      <c r="I4472" s="72">
        <v>2235</v>
      </c>
      <c r="J4472" s="70">
        <v>0.99632352941176472</v>
      </c>
    </row>
    <row r="4473" spans="9:10" x14ac:dyDescent="0.3">
      <c r="I4473" s="72">
        <v>2235.5</v>
      </c>
      <c r="J4473" s="70">
        <v>0.99632352941176472</v>
      </c>
    </row>
    <row r="4474" spans="9:10" x14ac:dyDescent="0.3">
      <c r="I4474" s="72">
        <v>2236</v>
      </c>
      <c r="J4474" s="70">
        <v>0.99632352941176472</v>
      </c>
    </row>
    <row r="4475" spans="9:10" x14ac:dyDescent="0.3">
      <c r="I4475" s="72">
        <v>2236.5</v>
      </c>
      <c r="J4475" s="70">
        <v>0.99632352941176472</v>
      </c>
    </row>
    <row r="4476" spans="9:10" x14ac:dyDescent="0.3">
      <c r="I4476" s="72">
        <v>2237</v>
      </c>
      <c r="J4476" s="70">
        <v>0.99632352941176472</v>
      </c>
    </row>
    <row r="4477" spans="9:10" x14ac:dyDescent="0.3">
      <c r="I4477" s="72">
        <v>2237.5</v>
      </c>
      <c r="J4477" s="70">
        <v>0.99632352941176472</v>
      </c>
    </row>
    <row r="4478" spans="9:10" x14ac:dyDescent="0.3">
      <c r="I4478" s="72">
        <v>2238</v>
      </c>
      <c r="J4478" s="70">
        <v>0.99632352941176472</v>
      </c>
    </row>
    <row r="4479" spans="9:10" x14ac:dyDescent="0.3">
      <c r="I4479" s="72">
        <v>2238.5</v>
      </c>
      <c r="J4479" s="70">
        <v>0.99632352941176472</v>
      </c>
    </row>
    <row r="4480" spans="9:10" x14ac:dyDescent="0.3">
      <c r="I4480" s="72">
        <v>2239</v>
      </c>
      <c r="J4480" s="70">
        <v>0.99632352941176472</v>
      </c>
    </row>
    <row r="4481" spans="9:10" x14ac:dyDescent="0.3">
      <c r="I4481" s="72">
        <v>2239.5</v>
      </c>
      <c r="J4481" s="70">
        <v>0.99632352941176472</v>
      </c>
    </row>
    <row r="4482" spans="9:10" x14ac:dyDescent="0.3">
      <c r="I4482" s="72">
        <v>2240</v>
      </c>
      <c r="J4482" s="70">
        <v>0.99632352941176472</v>
      </c>
    </row>
    <row r="4483" spans="9:10" x14ac:dyDescent="0.3">
      <c r="I4483" s="72">
        <v>2240.5</v>
      </c>
      <c r="J4483" s="70">
        <v>0.99632352941176472</v>
      </c>
    </row>
    <row r="4484" spans="9:10" x14ac:dyDescent="0.3">
      <c r="I4484" s="72">
        <v>2241</v>
      </c>
      <c r="J4484" s="70">
        <v>0.99632352941176472</v>
      </c>
    </row>
    <row r="4485" spans="9:10" x14ac:dyDescent="0.3">
      <c r="I4485" s="72">
        <v>2241.5</v>
      </c>
      <c r="J4485" s="70">
        <v>0.99632352941176472</v>
      </c>
    </row>
    <row r="4486" spans="9:10" x14ac:dyDescent="0.3">
      <c r="I4486" s="72">
        <v>2242</v>
      </c>
      <c r="J4486" s="70">
        <v>0.99632352941176472</v>
      </c>
    </row>
    <row r="4487" spans="9:10" x14ac:dyDescent="0.3">
      <c r="I4487" s="72">
        <v>2242.5</v>
      </c>
      <c r="J4487" s="70">
        <v>0.99632352941176472</v>
      </c>
    </row>
    <row r="4488" spans="9:10" x14ac:dyDescent="0.3">
      <c r="I4488" s="72">
        <v>2243</v>
      </c>
      <c r="J4488" s="70">
        <v>0.99632352941176472</v>
      </c>
    </row>
    <row r="4489" spans="9:10" x14ac:dyDescent="0.3">
      <c r="I4489" s="72">
        <v>2243.5</v>
      </c>
      <c r="J4489" s="70">
        <v>0.99632352941176472</v>
      </c>
    </row>
    <row r="4490" spans="9:10" x14ac:dyDescent="0.3">
      <c r="I4490" s="72">
        <v>2244</v>
      </c>
      <c r="J4490" s="70">
        <v>0.99632352941176472</v>
      </c>
    </row>
    <row r="4491" spans="9:10" x14ac:dyDescent="0.3">
      <c r="I4491" s="72">
        <v>2244.5</v>
      </c>
      <c r="J4491" s="70">
        <v>0.99632352941176472</v>
      </c>
    </row>
    <row r="4492" spans="9:10" x14ac:dyDescent="0.3">
      <c r="I4492" s="72">
        <v>2245</v>
      </c>
      <c r="J4492" s="70">
        <v>0.99632352941176472</v>
      </c>
    </row>
    <row r="4493" spans="9:10" x14ac:dyDescent="0.3">
      <c r="I4493" s="72">
        <v>2245.5</v>
      </c>
      <c r="J4493" s="70">
        <v>0.99632352941176472</v>
      </c>
    </row>
    <row r="4494" spans="9:10" x14ac:dyDescent="0.3">
      <c r="I4494" s="72">
        <v>2246</v>
      </c>
      <c r="J4494" s="70">
        <v>0.99632352941176472</v>
      </c>
    </row>
    <row r="4495" spans="9:10" x14ac:dyDescent="0.3">
      <c r="I4495" s="72">
        <v>2246.5</v>
      </c>
      <c r="J4495" s="70">
        <v>0.99632352941176472</v>
      </c>
    </row>
    <row r="4496" spans="9:10" x14ac:dyDescent="0.3">
      <c r="I4496" s="72">
        <v>2247</v>
      </c>
      <c r="J4496" s="70">
        <v>0.99632352941176472</v>
      </c>
    </row>
    <row r="4497" spans="9:10" x14ac:dyDescent="0.3">
      <c r="I4497" s="72">
        <v>2247.5</v>
      </c>
      <c r="J4497" s="70">
        <v>0.99632352941176472</v>
      </c>
    </row>
    <row r="4498" spans="9:10" x14ac:dyDescent="0.3">
      <c r="I4498" s="72">
        <v>2248</v>
      </c>
      <c r="J4498" s="70">
        <v>0.99632352941176472</v>
      </c>
    </row>
    <row r="4499" spans="9:10" x14ac:dyDescent="0.3">
      <c r="I4499" s="72">
        <v>2248.5</v>
      </c>
      <c r="J4499" s="70">
        <v>0.99632352941176472</v>
      </c>
    </row>
    <row r="4500" spans="9:10" x14ac:dyDescent="0.3">
      <c r="I4500" s="72">
        <v>2249</v>
      </c>
      <c r="J4500" s="70">
        <v>0.99632352941176472</v>
      </c>
    </row>
    <row r="4501" spans="9:10" x14ac:dyDescent="0.3">
      <c r="I4501" s="72">
        <v>2249.5</v>
      </c>
      <c r="J4501" s="70">
        <v>0.99632352941176472</v>
      </c>
    </row>
    <row r="4502" spans="9:10" x14ac:dyDescent="0.3">
      <c r="I4502" s="72">
        <v>2250</v>
      </c>
      <c r="J4502" s="70">
        <v>0.99632352941176472</v>
      </c>
    </row>
    <row r="4503" spans="9:10" x14ac:dyDescent="0.3">
      <c r="I4503" s="72">
        <v>2250.5</v>
      </c>
      <c r="J4503" s="70">
        <v>0.99632352941176472</v>
      </c>
    </row>
    <row r="4504" spans="9:10" x14ac:dyDescent="0.3">
      <c r="I4504" s="72">
        <v>2251</v>
      </c>
      <c r="J4504" s="70">
        <v>0.99632352941176472</v>
      </c>
    </row>
    <row r="4505" spans="9:10" x14ac:dyDescent="0.3">
      <c r="I4505" s="72">
        <v>2251.5</v>
      </c>
      <c r="J4505" s="70">
        <v>0.99632352941176472</v>
      </c>
    </row>
    <row r="4506" spans="9:10" x14ac:dyDescent="0.3">
      <c r="I4506" s="72">
        <v>2252</v>
      </c>
      <c r="J4506" s="70">
        <v>0.99632352941176472</v>
      </c>
    </row>
    <row r="4507" spans="9:10" x14ac:dyDescent="0.3">
      <c r="I4507" s="72">
        <v>2252.5</v>
      </c>
      <c r="J4507" s="70">
        <v>0.99632352941176472</v>
      </c>
    </row>
    <row r="4508" spans="9:10" x14ac:dyDescent="0.3">
      <c r="I4508" s="72">
        <v>2253</v>
      </c>
      <c r="J4508" s="70">
        <v>0.99632352941176472</v>
      </c>
    </row>
    <row r="4509" spans="9:10" x14ac:dyDescent="0.3">
      <c r="I4509" s="72">
        <v>2253.5</v>
      </c>
      <c r="J4509" s="70">
        <v>0.99632352941176472</v>
      </c>
    </row>
    <row r="4510" spans="9:10" x14ac:dyDescent="0.3">
      <c r="I4510" s="72">
        <v>2254</v>
      </c>
      <c r="J4510" s="70">
        <v>0.99632352941176472</v>
      </c>
    </row>
    <row r="4511" spans="9:10" x14ac:dyDescent="0.3">
      <c r="I4511" s="72">
        <v>2254.5</v>
      </c>
      <c r="J4511" s="70">
        <v>0.99632352941176472</v>
      </c>
    </row>
    <row r="4512" spans="9:10" x14ac:dyDescent="0.3">
      <c r="I4512" s="72">
        <v>2255</v>
      </c>
      <c r="J4512" s="70">
        <v>0.99632352941176472</v>
      </c>
    </row>
    <row r="4513" spans="9:10" x14ac:dyDescent="0.3">
      <c r="I4513" s="72">
        <v>2255.5</v>
      </c>
      <c r="J4513" s="70">
        <v>0.99816176470588236</v>
      </c>
    </row>
    <row r="4514" spans="9:10" x14ac:dyDescent="0.3">
      <c r="I4514" s="72">
        <v>2256</v>
      </c>
      <c r="J4514" s="70">
        <v>0.99816176470588236</v>
      </c>
    </row>
    <row r="4515" spans="9:10" x14ac:dyDescent="0.3">
      <c r="I4515" s="72">
        <v>2256.5</v>
      </c>
      <c r="J4515" s="70">
        <v>0.99816176470588236</v>
      </c>
    </row>
    <row r="4516" spans="9:10" x14ac:dyDescent="0.3">
      <c r="I4516" s="72">
        <v>2257</v>
      </c>
      <c r="J4516" s="70">
        <v>0.99816176470588236</v>
      </c>
    </row>
    <row r="4517" spans="9:10" x14ac:dyDescent="0.3">
      <c r="I4517" s="72">
        <v>2257.5</v>
      </c>
      <c r="J4517" s="70">
        <v>0.99816176470588236</v>
      </c>
    </row>
    <row r="4518" spans="9:10" x14ac:dyDescent="0.3">
      <c r="I4518" s="72">
        <v>2258</v>
      </c>
      <c r="J4518" s="70">
        <v>0.99816176470588236</v>
      </c>
    </row>
    <row r="4519" spans="9:10" x14ac:dyDescent="0.3">
      <c r="I4519" s="72">
        <v>2258.5</v>
      </c>
      <c r="J4519" s="70">
        <v>0.99816176470588236</v>
      </c>
    </row>
    <row r="4520" spans="9:10" x14ac:dyDescent="0.3">
      <c r="I4520" s="72">
        <v>2259</v>
      </c>
      <c r="J4520" s="70">
        <v>0.99816176470588236</v>
      </c>
    </row>
    <row r="4521" spans="9:10" x14ac:dyDescent="0.3">
      <c r="I4521" s="72">
        <v>2259.5</v>
      </c>
      <c r="J4521" s="70">
        <v>0.99816176470588236</v>
      </c>
    </row>
    <row r="4522" spans="9:10" x14ac:dyDescent="0.3">
      <c r="I4522" s="72">
        <v>2260</v>
      </c>
      <c r="J4522" s="70">
        <v>0.99816176470588236</v>
      </c>
    </row>
    <row r="4523" spans="9:10" x14ac:dyDescent="0.3">
      <c r="I4523" s="72">
        <v>2260.5</v>
      </c>
      <c r="J4523" s="70">
        <v>0.99816176470588236</v>
      </c>
    </row>
    <row r="4524" spans="9:10" x14ac:dyDescent="0.3">
      <c r="I4524" s="72">
        <v>2261</v>
      </c>
      <c r="J4524" s="70">
        <v>0.99816176470588236</v>
      </c>
    </row>
    <row r="4525" spans="9:10" x14ac:dyDescent="0.3">
      <c r="I4525" s="72">
        <v>2261.5</v>
      </c>
      <c r="J4525" s="70">
        <v>0.99816176470588236</v>
      </c>
    </row>
    <row r="4526" spans="9:10" x14ac:dyDescent="0.3">
      <c r="I4526" s="72">
        <v>2262</v>
      </c>
      <c r="J4526" s="70">
        <v>0.99816176470588236</v>
      </c>
    </row>
    <row r="4527" spans="9:10" x14ac:dyDescent="0.3">
      <c r="I4527" s="72">
        <v>2262.5</v>
      </c>
      <c r="J4527" s="70">
        <v>0.99816176470588236</v>
      </c>
    </row>
    <row r="4528" spans="9:10" x14ac:dyDescent="0.3">
      <c r="I4528" s="72">
        <v>2263</v>
      </c>
      <c r="J4528" s="70">
        <v>0.99816176470588236</v>
      </c>
    </row>
    <row r="4529" spans="9:10" x14ac:dyDescent="0.3">
      <c r="I4529" s="72">
        <v>2263.5</v>
      </c>
      <c r="J4529" s="70">
        <v>0.99816176470588236</v>
      </c>
    </row>
    <row r="4530" spans="9:10" x14ac:dyDescent="0.3">
      <c r="I4530" s="72">
        <v>2264</v>
      </c>
      <c r="J4530" s="70">
        <v>0.99816176470588236</v>
      </c>
    </row>
    <row r="4531" spans="9:10" x14ac:dyDescent="0.3">
      <c r="I4531" s="72">
        <v>2264.5</v>
      </c>
      <c r="J4531" s="70">
        <v>0.99816176470588236</v>
      </c>
    </row>
    <row r="4532" spans="9:10" x14ac:dyDescent="0.3">
      <c r="I4532" s="72">
        <v>2265</v>
      </c>
      <c r="J4532" s="70">
        <v>0.99816176470588236</v>
      </c>
    </row>
    <row r="4533" spans="9:10" x14ac:dyDescent="0.3">
      <c r="I4533" s="72">
        <v>2265.5</v>
      </c>
      <c r="J4533" s="70">
        <v>0.99816176470588236</v>
      </c>
    </row>
    <row r="4534" spans="9:10" x14ac:dyDescent="0.3">
      <c r="I4534" s="72">
        <v>2266</v>
      </c>
      <c r="J4534" s="70">
        <v>0.99816176470588236</v>
      </c>
    </row>
    <row r="4535" spans="9:10" x14ac:dyDescent="0.3">
      <c r="I4535" s="72">
        <v>2266.5</v>
      </c>
      <c r="J4535" s="70">
        <v>0.99816176470588236</v>
      </c>
    </row>
    <row r="4536" spans="9:10" x14ac:dyDescent="0.3">
      <c r="I4536" s="72">
        <v>2267</v>
      </c>
      <c r="J4536" s="70">
        <v>0.99816176470588236</v>
      </c>
    </row>
    <row r="4537" spans="9:10" x14ac:dyDescent="0.3">
      <c r="I4537" s="72">
        <v>2267.5</v>
      </c>
      <c r="J4537" s="70">
        <v>0.99816176470588236</v>
      </c>
    </row>
    <row r="4538" spans="9:10" x14ac:dyDescent="0.3">
      <c r="I4538" s="72">
        <v>2268</v>
      </c>
      <c r="J4538" s="70">
        <v>0.99816176470588236</v>
      </c>
    </row>
    <row r="4539" spans="9:10" x14ac:dyDescent="0.3">
      <c r="I4539" s="72">
        <v>2268.5</v>
      </c>
      <c r="J4539" s="70">
        <v>0.99816176470588236</v>
      </c>
    </row>
    <row r="4540" spans="9:10" x14ac:dyDescent="0.3">
      <c r="I4540" s="72">
        <v>2269</v>
      </c>
      <c r="J4540" s="70">
        <v>0.99816176470588236</v>
      </c>
    </row>
    <row r="4541" spans="9:10" x14ac:dyDescent="0.3">
      <c r="I4541" s="72">
        <v>2269.5</v>
      </c>
      <c r="J4541" s="70">
        <v>0.99816176470588236</v>
      </c>
    </row>
    <row r="4542" spans="9:10" x14ac:dyDescent="0.3">
      <c r="I4542" s="72">
        <v>2270</v>
      </c>
      <c r="J4542" s="70">
        <v>0.99816176470588236</v>
      </c>
    </row>
    <row r="4543" spans="9:10" x14ac:dyDescent="0.3">
      <c r="I4543" s="72">
        <v>2270.5</v>
      </c>
      <c r="J4543" s="70">
        <v>0.99816176470588236</v>
      </c>
    </row>
    <row r="4544" spans="9:10" x14ac:dyDescent="0.3">
      <c r="I4544" s="72">
        <v>2271</v>
      </c>
      <c r="J4544" s="70">
        <v>0.99816176470588236</v>
      </c>
    </row>
    <row r="4545" spans="9:10" x14ac:dyDescent="0.3">
      <c r="I4545" s="72">
        <v>2271.5</v>
      </c>
      <c r="J4545" s="70">
        <v>0.99816176470588236</v>
      </c>
    </row>
    <row r="4546" spans="9:10" x14ac:dyDescent="0.3">
      <c r="I4546" s="72">
        <v>2272</v>
      </c>
      <c r="J4546" s="70">
        <v>0.99816176470588236</v>
      </c>
    </row>
    <row r="4547" spans="9:10" x14ac:dyDescent="0.3">
      <c r="I4547" s="72">
        <v>2272.5</v>
      </c>
      <c r="J4547" s="70">
        <v>0.99816176470588236</v>
      </c>
    </row>
    <row r="4548" spans="9:10" x14ac:dyDescent="0.3">
      <c r="I4548" s="72">
        <v>2273</v>
      </c>
      <c r="J4548" s="70">
        <v>0.99816176470588236</v>
      </c>
    </row>
    <row r="4549" spans="9:10" x14ac:dyDescent="0.3">
      <c r="I4549" s="72">
        <v>2273.5</v>
      </c>
      <c r="J4549" s="70">
        <v>0.99816176470588236</v>
      </c>
    </row>
    <row r="4550" spans="9:10" x14ac:dyDescent="0.3">
      <c r="I4550" s="72">
        <v>2274</v>
      </c>
      <c r="J4550" s="70">
        <v>0.99816176470588236</v>
      </c>
    </row>
    <row r="4551" spans="9:10" x14ac:dyDescent="0.3">
      <c r="I4551" s="72">
        <v>2274.5</v>
      </c>
      <c r="J4551" s="70">
        <v>0.99816176470588236</v>
      </c>
    </row>
    <row r="4552" spans="9:10" x14ac:dyDescent="0.3">
      <c r="I4552" s="72">
        <v>2275</v>
      </c>
      <c r="J4552" s="70">
        <v>0.99816176470588236</v>
      </c>
    </row>
    <row r="4553" spans="9:10" x14ac:dyDescent="0.3">
      <c r="I4553" s="72">
        <v>2275.5</v>
      </c>
      <c r="J4553" s="70">
        <v>0.99816176470588236</v>
      </c>
    </row>
    <row r="4554" spans="9:10" x14ac:dyDescent="0.3">
      <c r="I4554" s="72">
        <v>2276</v>
      </c>
      <c r="J4554" s="70">
        <v>0.99816176470588236</v>
      </c>
    </row>
    <row r="4555" spans="9:10" x14ac:dyDescent="0.3">
      <c r="I4555" s="72">
        <v>2276.5</v>
      </c>
      <c r="J4555" s="70">
        <v>0.99816176470588236</v>
      </c>
    </row>
    <row r="4556" spans="9:10" x14ac:dyDescent="0.3">
      <c r="I4556" s="72">
        <v>2277</v>
      </c>
      <c r="J4556" s="70">
        <v>0.99816176470588236</v>
      </c>
    </row>
    <row r="4557" spans="9:10" x14ac:dyDescent="0.3">
      <c r="I4557" s="72">
        <v>2277.5</v>
      </c>
      <c r="J4557" s="70">
        <v>0.99816176470588236</v>
      </c>
    </row>
    <row r="4558" spans="9:10" x14ac:dyDescent="0.3">
      <c r="I4558" s="72">
        <v>2278</v>
      </c>
      <c r="J4558" s="70">
        <v>0.99816176470588236</v>
      </c>
    </row>
    <row r="4559" spans="9:10" x14ac:dyDescent="0.3">
      <c r="I4559" s="72">
        <v>2278.5</v>
      </c>
      <c r="J4559" s="70">
        <v>0.99816176470588236</v>
      </c>
    </row>
    <row r="4560" spans="9:10" x14ac:dyDescent="0.3">
      <c r="I4560" s="72">
        <v>2279</v>
      </c>
      <c r="J4560" s="70">
        <v>0.99816176470588236</v>
      </c>
    </row>
    <row r="4561" spans="9:10" x14ac:dyDescent="0.3">
      <c r="I4561" s="72">
        <v>2279.5</v>
      </c>
      <c r="J4561" s="70">
        <v>0.99816176470588236</v>
      </c>
    </row>
    <row r="4562" spans="9:10" x14ac:dyDescent="0.3">
      <c r="I4562" s="72">
        <v>2280</v>
      </c>
      <c r="J4562" s="70">
        <v>0.99816176470588236</v>
      </c>
    </row>
    <row r="4563" spans="9:10" x14ac:dyDescent="0.3">
      <c r="I4563" s="72">
        <v>2280.5</v>
      </c>
      <c r="J4563" s="70">
        <v>0.99816176470588236</v>
      </c>
    </row>
    <row r="4564" spans="9:10" x14ac:dyDescent="0.3">
      <c r="I4564" s="72">
        <v>2281</v>
      </c>
      <c r="J4564" s="70">
        <v>0.99816176470588236</v>
      </c>
    </row>
    <row r="4565" spans="9:10" x14ac:dyDescent="0.3">
      <c r="I4565" s="72">
        <v>2281.5</v>
      </c>
      <c r="J4565" s="70">
        <v>0.99816176470588236</v>
      </c>
    </row>
    <row r="4566" spans="9:10" x14ac:dyDescent="0.3">
      <c r="I4566" s="72">
        <v>2282</v>
      </c>
      <c r="J4566" s="70">
        <v>0.99816176470588236</v>
      </c>
    </row>
    <row r="4567" spans="9:10" x14ac:dyDescent="0.3">
      <c r="I4567" s="72">
        <v>2282.5</v>
      </c>
      <c r="J4567" s="70">
        <v>0.99816176470588236</v>
      </c>
    </row>
    <row r="4568" spans="9:10" x14ac:dyDescent="0.3">
      <c r="I4568" s="72">
        <v>2283</v>
      </c>
      <c r="J4568" s="70">
        <v>0.99816176470588236</v>
      </c>
    </row>
    <row r="4569" spans="9:10" x14ac:dyDescent="0.3">
      <c r="I4569" s="72">
        <v>2283.5</v>
      </c>
      <c r="J4569" s="70">
        <v>0.99816176470588236</v>
      </c>
    </row>
    <row r="4570" spans="9:10" x14ac:dyDescent="0.3">
      <c r="I4570" s="72">
        <v>2284</v>
      </c>
      <c r="J4570" s="70">
        <v>0.99816176470588236</v>
      </c>
    </row>
    <row r="4571" spans="9:10" x14ac:dyDescent="0.3">
      <c r="I4571" s="72">
        <v>2284.5</v>
      </c>
      <c r="J4571" s="70">
        <v>0.99816176470588236</v>
      </c>
    </row>
    <row r="4572" spans="9:10" x14ac:dyDescent="0.3">
      <c r="I4572" s="72">
        <v>2285</v>
      </c>
      <c r="J4572" s="70">
        <v>0.99816176470588236</v>
      </c>
    </row>
    <row r="4573" spans="9:10" x14ac:dyDescent="0.3">
      <c r="I4573" s="72">
        <v>2285.5</v>
      </c>
      <c r="J4573" s="70">
        <v>0.99816176470588236</v>
      </c>
    </row>
    <row r="4574" spans="9:10" x14ac:dyDescent="0.3">
      <c r="I4574" s="72">
        <v>2286</v>
      </c>
      <c r="J4574" s="70">
        <v>0.99816176470588236</v>
      </c>
    </row>
    <row r="4575" spans="9:10" x14ac:dyDescent="0.3">
      <c r="I4575" s="72">
        <v>2286.5</v>
      </c>
      <c r="J4575" s="70">
        <v>0.99816176470588236</v>
      </c>
    </row>
    <row r="4576" spans="9:10" x14ac:dyDescent="0.3">
      <c r="I4576" s="72">
        <v>2287</v>
      </c>
      <c r="J4576" s="70">
        <v>0.99816176470588236</v>
      </c>
    </row>
    <row r="4577" spans="9:10" x14ac:dyDescent="0.3">
      <c r="I4577" s="72">
        <v>2287.5</v>
      </c>
      <c r="J4577" s="70">
        <v>0.99816176470588236</v>
      </c>
    </row>
    <row r="4578" spans="9:10" x14ac:dyDescent="0.3">
      <c r="I4578" s="72">
        <v>2288</v>
      </c>
      <c r="J4578" s="70">
        <v>0.99816176470588236</v>
      </c>
    </row>
    <row r="4579" spans="9:10" x14ac:dyDescent="0.3">
      <c r="I4579" s="72">
        <v>2288.5</v>
      </c>
      <c r="J4579" s="70">
        <v>0.99816176470588236</v>
      </c>
    </row>
    <row r="4580" spans="9:10" x14ac:dyDescent="0.3">
      <c r="I4580" s="72">
        <v>2289</v>
      </c>
      <c r="J4580" s="70">
        <v>0.99816176470588236</v>
      </c>
    </row>
    <row r="4581" spans="9:10" x14ac:dyDescent="0.3">
      <c r="I4581" s="72">
        <v>2289.5</v>
      </c>
      <c r="J4581" s="70">
        <v>0.99816176470588236</v>
      </c>
    </row>
    <row r="4582" spans="9:10" x14ac:dyDescent="0.3">
      <c r="I4582" s="72">
        <v>2290</v>
      </c>
      <c r="J4582" s="70">
        <v>0.99816176470588236</v>
      </c>
    </row>
    <row r="4583" spans="9:10" x14ac:dyDescent="0.3">
      <c r="I4583" s="72">
        <v>2290.5</v>
      </c>
      <c r="J4583" s="70">
        <v>0.99816176470588236</v>
      </c>
    </row>
    <row r="4584" spans="9:10" x14ac:dyDescent="0.3">
      <c r="I4584" s="72">
        <v>2291</v>
      </c>
      <c r="J4584" s="70">
        <v>0.99816176470588236</v>
      </c>
    </row>
    <row r="4585" spans="9:10" x14ac:dyDescent="0.3">
      <c r="I4585" s="72">
        <v>2291.5</v>
      </c>
      <c r="J4585" s="70">
        <v>0.99816176470588236</v>
      </c>
    </row>
    <row r="4586" spans="9:10" x14ac:dyDescent="0.3">
      <c r="I4586" s="72">
        <v>2292</v>
      </c>
      <c r="J4586" s="70">
        <v>0.99816176470588236</v>
      </c>
    </row>
    <row r="4587" spans="9:10" x14ac:dyDescent="0.3">
      <c r="I4587" s="72">
        <v>2292.5</v>
      </c>
      <c r="J4587" s="70">
        <v>0.99816176470588236</v>
      </c>
    </row>
    <row r="4588" spans="9:10" x14ac:dyDescent="0.3">
      <c r="I4588" s="72">
        <v>2293</v>
      </c>
      <c r="J4588" s="70">
        <v>0.99816176470588236</v>
      </c>
    </row>
    <row r="4589" spans="9:10" x14ac:dyDescent="0.3">
      <c r="I4589" s="72">
        <v>2293.5</v>
      </c>
      <c r="J4589" s="70">
        <v>0.99816176470588236</v>
      </c>
    </row>
    <row r="4590" spans="9:10" x14ac:dyDescent="0.3">
      <c r="I4590" s="72">
        <v>2294</v>
      </c>
      <c r="J4590" s="70">
        <v>0.99816176470588236</v>
      </c>
    </row>
    <row r="4591" spans="9:10" x14ac:dyDescent="0.3">
      <c r="I4591" s="72">
        <v>2294.5</v>
      </c>
      <c r="J4591" s="70">
        <v>0.99816176470588236</v>
      </c>
    </row>
    <row r="4592" spans="9:10" x14ac:dyDescent="0.3">
      <c r="I4592" s="72">
        <v>2295</v>
      </c>
      <c r="J4592" s="70">
        <v>0.99816176470588236</v>
      </c>
    </row>
    <row r="4593" spans="9:10" x14ac:dyDescent="0.3">
      <c r="I4593" s="72">
        <v>2295.5</v>
      </c>
      <c r="J4593" s="70">
        <v>0.99816176470588236</v>
      </c>
    </row>
    <row r="4594" spans="9:10" x14ac:dyDescent="0.3">
      <c r="I4594" s="72">
        <v>2296</v>
      </c>
      <c r="J4594" s="70">
        <v>0.99816176470588236</v>
      </c>
    </row>
    <row r="4595" spans="9:10" x14ac:dyDescent="0.3">
      <c r="I4595" s="72">
        <v>2296.5</v>
      </c>
      <c r="J4595" s="70">
        <v>0.99816176470588236</v>
      </c>
    </row>
    <row r="4596" spans="9:10" x14ac:dyDescent="0.3">
      <c r="I4596" s="72">
        <v>2297</v>
      </c>
      <c r="J4596" s="70">
        <v>0.99816176470588236</v>
      </c>
    </row>
    <row r="4597" spans="9:10" x14ac:dyDescent="0.3">
      <c r="I4597" s="72">
        <v>2297.5</v>
      </c>
      <c r="J4597" s="70">
        <v>0.99816176470588236</v>
      </c>
    </row>
    <row r="4598" spans="9:10" x14ac:dyDescent="0.3">
      <c r="I4598" s="72">
        <v>2298</v>
      </c>
      <c r="J4598" s="70">
        <v>0.99816176470588236</v>
      </c>
    </row>
    <row r="4599" spans="9:10" x14ac:dyDescent="0.3">
      <c r="I4599" s="72">
        <v>2298.5</v>
      </c>
      <c r="J4599" s="70">
        <v>0.99816176470588236</v>
      </c>
    </row>
    <row r="4600" spans="9:10" x14ac:dyDescent="0.3">
      <c r="I4600" s="72">
        <v>2299</v>
      </c>
      <c r="J4600" s="70">
        <v>0.99816176470588236</v>
      </c>
    </row>
    <row r="4601" spans="9:10" x14ac:dyDescent="0.3">
      <c r="I4601" s="72">
        <v>2299.5</v>
      </c>
      <c r="J4601" s="70">
        <v>0.99816176470588236</v>
      </c>
    </row>
    <row r="4602" spans="9:10" x14ac:dyDescent="0.3">
      <c r="I4602" s="72">
        <v>2300</v>
      </c>
      <c r="J4602" s="70">
        <v>0.99816176470588236</v>
      </c>
    </row>
    <row r="4603" spans="9:10" x14ac:dyDescent="0.3">
      <c r="I4603" s="72">
        <v>2300.5</v>
      </c>
      <c r="J4603" s="70">
        <v>0.99816176470588236</v>
      </c>
    </row>
    <row r="4604" spans="9:10" x14ac:dyDescent="0.3">
      <c r="I4604" s="72">
        <v>2301</v>
      </c>
      <c r="J4604" s="70">
        <v>0.99816176470588236</v>
      </c>
    </row>
    <row r="4605" spans="9:10" x14ac:dyDescent="0.3">
      <c r="I4605" s="72">
        <v>2301.5</v>
      </c>
      <c r="J4605" s="70">
        <v>0.99816176470588236</v>
      </c>
    </row>
    <row r="4606" spans="9:10" x14ac:dyDescent="0.3">
      <c r="I4606" s="72">
        <v>2302</v>
      </c>
      <c r="J4606" s="70">
        <v>0.99816176470588236</v>
      </c>
    </row>
    <row r="4607" spans="9:10" x14ac:dyDescent="0.3">
      <c r="I4607" s="72">
        <v>2302.5</v>
      </c>
      <c r="J4607" s="70">
        <v>0.99816176470588236</v>
      </c>
    </row>
    <row r="4608" spans="9:10" x14ac:dyDescent="0.3">
      <c r="I4608" s="72">
        <v>2303</v>
      </c>
      <c r="J4608" s="70">
        <v>0.99816176470588236</v>
      </c>
    </row>
    <row r="4609" spans="9:10" x14ac:dyDescent="0.3">
      <c r="I4609" s="72">
        <v>2303.5</v>
      </c>
      <c r="J4609" s="70">
        <v>0.99816176470588236</v>
      </c>
    </row>
    <row r="4610" spans="9:10" x14ac:dyDescent="0.3">
      <c r="I4610" s="72">
        <v>2304</v>
      </c>
      <c r="J4610" s="70">
        <v>0.99816176470588236</v>
      </c>
    </row>
    <row r="4611" spans="9:10" x14ac:dyDescent="0.3">
      <c r="I4611" s="72">
        <v>2304.5</v>
      </c>
      <c r="J4611" s="70">
        <v>0.99816176470588236</v>
      </c>
    </row>
    <row r="4612" spans="9:10" x14ac:dyDescent="0.3">
      <c r="I4612" s="72">
        <v>2305</v>
      </c>
      <c r="J4612" s="70">
        <v>0.99816176470588236</v>
      </c>
    </row>
    <row r="4613" spans="9:10" x14ac:dyDescent="0.3">
      <c r="I4613" s="72">
        <v>2305.5</v>
      </c>
      <c r="J4613" s="70">
        <v>0.99816176470588236</v>
      </c>
    </row>
    <row r="4614" spans="9:10" x14ac:dyDescent="0.3">
      <c r="I4614" s="72">
        <v>2306</v>
      </c>
      <c r="J4614" s="70">
        <v>0.99816176470588236</v>
      </c>
    </row>
    <row r="4615" spans="9:10" x14ac:dyDescent="0.3">
      <c r="I4615" s="72">
        <v>2306.5</v>
      </c>
      <c r="J4615" s="70">
        <v>0.99816176470588236</v>
      </c>
    </row>
    <row r="4616" spans="9:10" x14ac:dyDescent="0.3">
      <c r="I4616" s="72">
        <v>2307</v>
      </c>
      <c r="J4616" s="70">
        <v>0.99816176470588236</v>
      </c>
    </row>
    <row r="4617" spans="9:10" x14ac:dyDescent="0.3">
      <c r="I4617" s="72">
        <v>2307.5</v>
      </c>
      <c r="J4617" s="70">
        <v>0.99816176470588236</v>
      </c>
    </row>
    <row r="4618" spans="9:10" x14ac:dyDescent="0.3">
      <c r="I4618" s="72">
        <v>2308</v>
      </c>
      <c r="J4618" s="70">
        <v>0.99816176470588236</v>
      </c>
    </row>
    <row r="4619" spans="9:10" x14ac:dyDescent="0.3">
      <c r="I4619" s="72">
        <v>2308.5</v>
      </c>
      <c r="J4619" s="70">
        <v>0.99816176470588236</v>
      </c>
    </row>
    <row r="4620" spans="9:10" x14ac:dyDescent="0.3">
      <c r="I4620" s="72">
        <v>2309</v>
      </c>
      <c r="J4620" s="70">
        <v>0.99816176470588236</v>
      </c>
    </row>
    <row r="4621" spans="9:10" x14ac:dyDescent="0.3">
      <c r="I4621" s="72">
        <v>2309.5</v>
      </c>
      <c r="J4621" s="70">
        <v>0.99816176470588236</v>
      </c>
    </row>
    <row r="4622" spans="9:10" x14ac:dyDescent="0.3">
      <c r="I4622" s="72">
        <v>2310</v>
      </c>
      <c r="J4622" s="70">
        <v>0.99816176470588236</v>
      </c>
    </row>
    <row r="4623" spans="9:10" x14ac:dyDescent="0.3">
      <c r="I4623" s="72">
        <v>2310.5</v>
      </c>
      <c r="J4623" s="70">
        <v>0.99816176470588236</v>
      </c>
    </row>
    <row r="4624" spans="9:10" x14ac:dyDescent="0.3">
      <c r="I4624" s="72">
        <v>2311</v>
      </c>
      <c r="J4624" s="70">
        <v>0.99816176470588236</v>
      </c>
    </row>
    <row r="4625" spans="9:10" x14ac:dyDescent="0.3">
      <c r="I4625" s="72">
        <v>2311.5</v>
      </c>
      <c r="J4625" s="70">
        <v>0.99816176470588236</v>
      </c>
    </row>
    <row r="4626" spans="9:10" x14ac:dyDescent="0.3">
      <c r="I4626" s="72">
        <v>2312</v>
      </c>
      <c r="J4626" s="70">
        <v>0.99816176470588236</v>
      </c>
    </row>
    <row r="4627" spans="9:10" x14ac:dyDescent="0.3">
      <c r="I4627" s="72">
        <v>2312.5</v>
      </c>
      <c r="J4627" s="70">
        <v>0.99816176470588236</v>
      </c>
    </row>
    <row r="4628" spans="9:10" x14ac:dyDescent="0.3">
      <c r="I4628" s="72">
        <v>2313</v>
      </c>
      <c r="J4628" s="70">
        <v>0.99816176470588236</v>
      </c>
    </row>
    <row r="4629" spans="9:10" x14ac:dyDescent="0.3">
      <c r="I4629" s="72">
        <v>2313.5</v>
      </c>
      <c r="J4629" s="70">
        <v>0.99816176470588236</v>
      </c>
    </row>
    <row r="4630" spans="9:10" x14ac:dyDescent="0.3">
      <c r="I4630" s="72">
        <v>2314</v>
      </c>
      <c r="J4630" s="70">
        <v>0.99816176470588236</v>
      </c>
    </row>
    <row r="4631" spans="9:10" x14ac:dyDescent="0.3">
      <c r="I4631" s="72">
        <v>2314.5</v>
      </c>
      <c r="J4631" s="70">
        <v>0.99816176470588236</v>
      </c>
    </row>
    <row r="4632" spans="9:10" x14ac:dyDescent="0.3">
      <c r="I4632" s="72">
        <v>2315</v>
      </c>
      <c r="J4632" s="70">
        <v>0.99816176470588236</v>
      </c>
    </row>
    <row r="4633" spans="9:10" x14ac:dyDescent="0.3">
      <c r="I4633" s="72">
        <v>2315.5</v>
      </c>
      <c r="J4633" s="70">
        <v>0.99816176470588236</v>
      </c>
    </row>
    <row r="4634" spans="9:10" x14ac:dyDescent="0.3">
      <c r="I4634" s="72">
        <v>2316</v>
      </c>
      <c r="J4634" s="70">
        <v>0.99816176470588236</v>
      </c>
    </row>
    <row r="4635" spans="9:10" x14ac:dyDescent="0.3">
      <c r="I4635" s="72">
        <v>2316.5</v>
      </c>
      <c r="J4635" s="70">
        <v>0.99816176470588236</v>
      </c>
    </row>
    <row r="4636" spans="9:10" x14ac:dyDescent="0.3">
      <c r="I4636" s="72">
        <v>2317</v>
      </c>
      <c r="J4636" s="70">
        <v>0.99816176470588236</v>
      </c>
    </row>
    <row r="4637" spans="9:10" x14ac:dyDescent="0.3">
      <c r="I4637" s="72">
        <v>2317.5</v>
      </c>
      <c r="J4637" s="70">
        <v>0.99816176470588236</v>
      </c>
    </row>
    <row r="4638" spans="9:10" x14ac:dyDescent="0.3">
      <c r="I4638" s="72">
        <v>2318</v>
      </c>
      <c r="J4638" s="70">
        <v>0.99816176470588236</v>
      </c>
    </row>
    <row r="4639" spans="9:10" x14ac:dyDescent="0.3">
      <c r="I4639" s="72">
        <v>2318.5</v>
      </c>
      <c r="J4639" s="70">
        <v>0.99816176470588236</v>
      </c>
    </row>
    <row r="4640" spans="9:10" x14ac:dyDescent="0.3">
      <c r="I4640" s="72">
        <v>2319</v>
      </c>
      <c r="J4640" s="70">
        <v>0.99816176470588236</v>
      </c>
    </row>
    <row r="4641" spans="9:10" x14ac:dyDescent="0.3">
      <c r="I4641" s="72">
        <v>2319.5</v>
      </c>
      <c r="J4641" s="70">
        <v>0.99816176470588236</v>
      </c>
    </row>
    <row r="4642" spans="9:10" x14ac:dyDescent="0.3">
      <c r="I4642" s="72">
        <v>2320</v>
      </c>
      <c r="J4642" s="70">
        <v>0.99816176470588236</v>
      </c>
    </row>
    <row r="4643" spans="9:10" x14ac:dyDescent="0.3">
      <c r="I4643" s="72">
        <v>2320.5</v>
      </c>
      <c r="J4643" s="70">
        <v>0.99816176470588236</v>
      </c>
    </row>
    <row r="4644" spans="9:10" x14ac:dyDescent="0.3">
      <c r="I4644" s="72">
        <v>2321</v>
      </c>
      <c r="J4644" s="70">
        <v>0.99816176470588236</v>
      </c>
    </row>
    <row r="4645" spans="9:10" x14ac:dyDescent="0.3">
      <c r="I4645" s="72">
        <v>2321.5</v>
      </c>
      <c r="J4645" s="70">
        <v>0.99816176470588236</v>
      </c>
    </row>
    <row r="4646" spans="9:10" x14ac:dyDescent="0.3">
      <c r="I4646" s="72">
        <v>2322</v>
      </c>
      <c r="J4646" s="70">
        <v>0.99816176470588236</v>
      </c>
    </row>
    <row r="4647" spans="9:10" x14ac:dyDescent="0.3">
      <c r="I4647" s="72">
        <v>2322.5</v>
      </c>
      <c r="J4647" s="70">
        <v>0.99816176470588236</v>
      </c>
    </row>
    <row r="4648" spans="9:10" x14ac:dyDescent="0.3">
      <c r="I4648" s="72">
        <v>2323</v>
      </c>
      <c r="J4648" s="70">
        <v>0.99816176470588236</v>
      </c>
    </row>
    <row r="4649" spans="9:10" x14ac:dyDescent="0.3">
      <c r="I4649" s="72">
        <v>2323.5</v>
      </c>
      <c r="J4649" s="70">
        <v>0.99816176470588236</v>
      </c>
    </row>
    <row r="4650" spans="9:10" x14ac:dyDescent="0.3">
      <c r="I4650" s="72">
        <v>2324</v>
      </c>
      <c r="J4650" s="70">
        <v>0.99816176470588236</v>
      </c>
    </row>
    <row r="4651" spans="9:10" x14ac:dyDescent="0.3">
      <c r="I4651" s="72">
        <v>2324.5</v>
      </c>
      <c r="J4651" s="70">
        <v>0.99816176470588236</v>
      </c>
    </row>
    <row r="4652" spans="9:10" x14ac:dyDescent="0.3">
      <c r="I4652" s="72">
        <v>2325</v>
      </c>
      <c r="J4652" s="70">
        <v>0.99816176470588236</v>
      </c>
    </row>
    <row r="4653" spans="9:10" x14ac:dyDescent="0.3">
      <c r="I4653" s="72">
        <v>2325.5</v>
      </c>
      <c r="J4653" s="70">
        <v>0.99816176470588236</v>
      </c>
    </row>
    <row r="4654" spans="9:10" x14ac:dyDescent="0.3">
      <c r="I4654" s="72">
        <v>2326</v>
      </c>
      <c r="J4654" s="70">
        <v>0.99816176470588236</v>
      </c>
    </row>
    <row r="4655" spans="9:10" x14ac:dyDescent="0.3">
      <c r="I4655" s="72">
        <v>2326.5</v>
      </c>
      <c r="J4655" s="70">
        <v>0.99816176470588236</v>
      </c>
    </row>
    <row r="4656" spans="9:10" x14ac:dyDescent="0.3">
      <c r="I4656" s="72">
        <v>2327</v>
      </c>
      <c r="J4656" s="70">
        <v>0.99816176470588236</v>
      </c>
    </row>
    <row r="4657" spans="9:10" x14ac:dyDescent="0.3">
      <c r="I4657" s="72">
        <v>2327.5</v>
      </c>
      <c r="J4657" s="70">
        <v>0.99816176470588236</v>
      </c>
    </row>
    <row r="4658" spans="9:10" x14ac:dyDescent="0.3">
      <c r="I4658" s="72">
        <v>2328</v>
      </c>
      <c r="J4658" s="70">
        <v>0.99816176470588236</v>
      </c>
    </row>
    <row r="4659" spans="9:10" x14ac:dyDescent="0.3">
      <c r="I4659" s="72">
        <v>2328.5</v>
      </c>
      <c r="J4659" s="70">
        <v>0.99816176470588236</v>
      </c>
    </row>
    <row r="4660" spans="9:10" x14ac:dyDescent="0.3">
      <c r="I4660" s="72">
        <v>2329</v>
      </c>
      <c r="J4660" s="70">
        <v>0.99816176470588236</v>
      </c>
    </row>
    <row r="4661" spans="9:10" x14ac:dyDescent="0.3">
      <c r="I4661" s="72">
        <v>2329.5</v>
      </c>
      <c r="J4661" s="70">
        <v>0.99816176470588236</v>
      </c>
    </row>
    <row r="4662" spans="9:10" x14ac:dyDescent="0.3">
      <c r="I4662" s="72">
        <v>2330</v>
      </c>
      <c r="J4662" s="70">
        <v>0.99816176470588236</v>
      </c>
    </row>
    <row r="4663" spans="9:10" x14ac:dyDescent="0.3">
      <c r="I4663" s="72">
        <v>2330.5</v>
      </c>
      <c r="J4663" s="70">
        <v>0.99816176470588236</v>
      </c>
    </row>
    <row r="4664" spans="9:10" x14ac:dyDescent="0.3">
      <c r="I4664" s="72">
        <v>2331</v>
      </c>
      <c r="J4664" s="70">
        <v>0.99816176470588236</v>
      </c>
    </row>
    <row r="4665" spans="9:10" x14ac:dyDescent="0.3">
      <c r="I4665" s="72">
        <v>2331.5</v>
      </c>
      <c r="J4665" s="70">
        <v>0.99816176470588236</v>
      </c>
    </row>
    <row r="4666" spans="9:10" x14ac:dyDescent="0.3">
      <c r="I4666" s="72">
        <v>2332</v>
      </c>
      <c r="J4666" s="70">
        <v>0.99816176470588236</v>
      </c>
    </row>
    <row r="4667" spans="9:10" x14ac:dyDescent="0.3">
      <c r="I4667" s="72">
        <v>2332.5</v>
      </c>
      <c r="J4667" s="70">
        <v>0.99816176470588236</v>
      </c>
    </row>
    <row r="4668" spans="9:10" x14ac:dyDescent="0.3">
      <c r="I4668" s="72">
        <v>2333</v>
      </c>
      <c r="J4668" s="70">
        <v>0.99816176470588236</v>
      </c>
    </row>
    <row r="4669" spans="9:10" x14ac:dyDescent="0.3">
      <c r="I4669" s="72">
        <v>2333.5</v>
      </c>
      <c r="J4669" s="70">
        <v>0.99816176470588236</v>
      </c>
    </row>
    <row r="4670" spans="9:10" x14ac:dyDescent="0.3">
      <c r="I4670" s="72">
        <v>2334</v>
      </c>
      <c r="J4670" s="70">
        <v>0.99816176470588236</v>
      </c>
    </row>
    <row r="4671" spans="9:10" x14ac:dyDescent="0.3">
      <c r="I4671" s="72">
        <v>2334.5</v>
      </c>
      <c r="J4671" s="70">
        <v>0.99816176470588236</v>
      </c>
    </row>
    <row r="4672" spans="9:10" x14ac:dyDescent="0.3">
      <c r="I4672" s="72">
        <v>2335</v>
      </c>
      <c r="J4672" s="70">
        <v>0.99816176470588236</v>
      </c>
    </row>
    <row r="4673" spans="9:10" x14ac:dyDescent="0.3">
      <c r="I4673" s="72">
        <v>2335.5</v>
      </c>
      <c r="J4673" s="70">
        <v>0.99816176470588236</v>
      </c>
    </row>
    <row r="4674" spans="9:10" x14ac:dyDescent="0.3">
      <c r="I4674" s="72">
        <v>2336</v>
      </c>
      <c r="J4674" s="70">
        <v>0.99816176470588236</v>
      </c>
    </row>
    <row r="4675" spans="9:10" x14ac:dyDescent="0.3">
      <c r="I4675" s="72">
        <v>2336.5</v>
      </c>
      <c r="J4675" s="70">
        <v>0.99816176470588236</v>
      </c>
    </row>
    <row r="4676" spans="9:10" x14ac:dyDescent="0.3">
      <c r="I4676" s="72">
        <v>2337</v>
      </c>
      <c r="J4676" s="70">
        <v>0.99816176470588236</v>
      </c>
    </row>
    <row r="4677" spans="9:10" x14ac:dyDescent="0.3">
      <c r="I4677" s="72">
        <v>2337.5</v>
      </c>
      <c r="J4677" s="70">
        <v>0.99816176470588236</v>
      </c>
    </row>
    <row r="4678" spans="9:10" x14ac:dyDescent="0.3">
      <c r="I4678" s="72">
        <v>2338</v>
      </c>
      <c r="J4678" s="70">
        <v>0.99816176470588236</v>
      </c>
    </row>
    <row r="4679" spans="9:10" x14ac:dyDescent="0.3">
      <c r="I4679" s="72">
        <v>2338.5</v>
      </c>
      <c r="J4679" s="70">
        <v>0.99816176470588236</v>
      </c>
    </row>
    <row r="4680" spans="9:10" x14ac:dyDescent="0.3">
      <c r="I4680" s="72">
        <v>2339</v>
      </c>
      <c r="J4680" s="70">
        <v>0.99816176470588236</v>
      </c>
    </row>
    <row r="4681" spans="9:10" x14ac:dyDescent="0.3">
      <c r="I4681" s="72">
        <v>2339.5</v>
      </c>
      <c r="J4681" s="70">
        <v>0.99816176470588236</v>
      </c>
    </row>
    <row r="4682" spans="9:10" x14ac:dyDescent="0.3">
      <c r="I4682" s="72">
        <v>2340</v>
      </c>
      <c r="J4682" s="70">
        <v>0.99816176470588236</v>
      </c>
    </row>
    <row r="4683" spans="9:10" x14ac:dyDescent="0.3">
      <c r="I4683" s="72">
        <v>2340.5</v>
      </c>
      <c r="J4683" s="70">
        <v>0.99816176470588236</v>
      </c>
    </row>
    <row r="4684" spans="9:10" x14ac:dyDescent="0.3">
      <c r="I4684" s="72">
        <v>2341</v>
      </c>
      <c r="J4684" s="70">
        <v>0.99816176470588236</v>
      </c>
    </row>
    <row r="4685" spans="9:10" x14ac:dyDescent="0.3">
      <c r="I4685" s="72">
        <v>2341.5</v>
      </c>
      <c r="J4685" s="70">
        <v>0.99816176470588236</v>
      </c>
    </row>
    <row r="4686" spans="9:10" x14ac:dyDescent="0.3">
      <c r="I4686" s="72">
        <v>2342</v>
      </c>
      <c r="J4686" s="70">
        <v>0.99816176470588236</v>
      </c>
    </row>
    <row r="4687" spans="9:10" x14ac:dyDescent="0.3">
      <c r="I4687" s="72">
        <v>2342.5</v>
      </c>
      <c r="J4687" s="70">
        <v>0.99816176470588236</v>
      </c>
    </row>
    <row r="4688" spans="9:10" x14ac:dyDescent="0.3">
      <c r="I4688" s="72">
        <v>2343</v>
      </c>
      <c r="J4688" s="70">
        <v>0.99816176470588236</v>
      </c>
    </row>
    <row r="4689" spans="9:10" x14ac:dyDescent="0.3">
      <c r="I4689" s="72">
        <v>2343.5</v>
      </c>
      <c r="J4689" s="70">
        <v>0.99816176470588236</v>
      </c>
    </row>
    <row r="4690" spans="9:10" x14ac:dyDescent="0.3">
      <c r="I4690" s="72">
        <v>2344</v>
      </c>
      <c r="J4690" s="70">
        <v>0.99816176470588236</v>
      </c>
    </row>
    <row r="4691" spans="9:10" x14ac:dyDescent="0.3">
      <c r="I4691" s="72">
        <v>2344.5</v>
      </c>
      <c r="J4691" s="70">
        <v>0.99816176470588236</v>
      </c>
    </row>
    <row r="4692" spans="9:10" x14ac:dyDescent="0.3">
      <c r="I4692" s="72">
        <v>2345</v>
      </c>
      <c r="J4692" s="70">
        <v>0.99816176470588236</v>
      </c>
    </row>
    <row r="4693" spans="9:10" x14ac:dyDescent="0.3">
      <c r="I4693" s="72">
        <v>2345.5</v>
      </c>
      <c r="J4693" s="70">
        <v>0.99816176470588236</v>
      </c>
    </row>
    <row r="4694" spans="9:10" x14ac:dyDescent="0.3">
      <c r="I4694" s="72">
        <v>2346</v>
      </c>
      <c r="J4694" s="70">
        <v>0.99816176470588236</v>
      </c>
    </row>
    <row r="4695" spans="9:10" x14ac:dyDescent="0.3">
      <c r="I4695" s="72">
        <v>2346.5</v>
      </c>
      <c r="J4695" s="70">
        <v>0.99816176470588236</v>
      </c>
    </row>
    <row r="4696" spans="9:10" x14ac:dyDescent="0.3">
      <c r="I4696" s="72">
        <v>2347</v>
      </c>
      <c r="J4696" s="70">
        <v>0.99816176470588236</v>
      </c>
    </row>
    <row r="4697" spans="9:10" x14ac:dyDescent="0.3">
      <c r="I4697" s="72">
        <v>2347.5</v>
      </c>
      <c r="J4697" s="70">
        <v>0.99816176470588236</v>
      </c>
    </row>
    <row r="4698" spans="9:10" x14ac:dyDescent="0.3">
      <c r="I4698" s="72">
        <v>2348</v>
      </c>
      <c r="J4698" s="70">
        <v>0.99816176470588236</v>
      </c>
    </row>
    <row r="4699" spans="9:10" x14ac:dyDescent="0.3">
      <c r="I4699" s="72">
        <v>2348.5</v>
      </c>
      <c r="J4699" s="70">
        <v>0.99816176470588236</v>
      </c>
    </row>
    <row r="4700" spans="9:10" x14ac:dyDescent="0.3">
      <c r="I4700" s="72">
        <v>2349</v>
      </c>
      <c r="J4700" s="70">
        <v>0.99816176470588236</v>
      </c>
    </row>
    <row r="4701" spans="9:10" x14ac:dyDescent="0.3">
      <c r="I4701" s="72">
        <v>2349.5</v>
      </c>
      <c r="J4701" s="70">
        <v>0.99816176470588236</v>
      </c>
    </row>
    <row r="4702" spans="9:10" x14ac:dyDescent="0.3">
      <c r="I4702" s="72">
        <v>2350</v>
      </c>
      <c r="J4702" s="70">
        <v>0.99816176470588236</v>
      </c>
    </row>
    <row r="4703" spans="9:10" x14ac:dyDescent="0.3">
      <c r="I4703" s="72">
        <v>2350.5</v>
      </c>
      <c r="J4703" s="70">
        <v>0.99816176470588236</v>
      </c>
    </row>
    <row r="4704" spans="9:10" x14ac:dyDescent="0.3">
      <c r="I4704" s="72">
        <v>2351</v>
      </c>
      <c r="J4704" s="70">
        <v>0.99816176470588236</v>
      </c>
    </row>
    <row r="4705" spans="9:10" x14ac:dyDescent="0.3">
      <c r="I4705" s="72">
        <v>2351.5</v>
      </c>
      <c r="J4705" s="70">
        <v>0.99816176470588236</v>
      </c>
    </row>
    <row r="4706" spans="9:10" x14ac:dyDescent="0.3">
      <c r="I4706" s="72">
        <v>2352</v>
      </c>
      <c r="J4706" s="70">
        <v>0.99816176470588236</v>
      </c>
    </row>
    <row r="4707" spans="9:10" x14ac:dyDescent="0.3">
      <c r="I4707" s="72">
        <v>2352.5</v>
      </c>
      <c r="J4707" s="70">
        <v>0.99816176470588236</v>
      </c>
    </row>
    <row r="4708" spans="9:10" x14ac:dyDescent="0.3">
      <c r="I4708" s="72">
        <v>2353</v>
      </c>
      <c r="J4708" s="70">
        <v>0.99816176470588236</v>
      </c>
    </row>
    <row r="4709" spans="9:10" x14ac:dyDescent="0.3">
      <c r="I4709" s="72">
        <v>2353.5</v>
      </c>
      <c r="J4709" s="70">
        <v>0.99816176470588236</v>
      </c>
    </row>
    <row r="4710" spans="9:10" x14ac:dyDescent="0.3">
      <c r="I4710" s="72">
        <v>2354</v>
      </c>
      <c r="J4710" s="70">
        <v>0.99816176470588236</v>
      </c>
    </row>
    <row r="4711" spans="9:10" x14ac:dyDescent="0.3">
      <c r="I4711" s="72">
        <v>2354.5</v>
      </c>
      <c r="J4711" s="70">
        <v>0.99816176470588236</v>
      </c>
    </row>
    <row r="4712" spans="9:10" x14ac:dyDescent="0.3">
      <c r="I4712" s="72">
        <v>2355</v>
      </c>
      <c r="J4712" s="70">
        <v>0.99816176470588236</v>
      </c>
    </row>
    <row r="4713" spans="9:10" x14ac:dyDescent="0.3">
      <c r="I4713" s="72">
        <v>2355.5</v>
      </c>
      <c r="J4713" s="70">
        <v>0.99816176470588236</v>
      </c>
    </row>
    <row r="4714" spans="9:10" x14ac:dyDescent="0.3">
      <c r="I4714" s="72">
        <v>2356</v>
      </c>
      <c r="J4714" s="70">
        <v>0.99816176470588236</v>
      </c>
    </row>
    <row r="4715" spans="9:10" x14ac:dyDescent="0.3">
      <c r="I4715" s="72">
        <v>2356.5</v>
      </c>
      <c r="J4715" s="70">
        <v>0.99816176470588236</v>
      </c>
    </row>
    <row r="4716" spans="9:10" x14ac:dyDescent="0.3">
      <c r="I4716" s="72">
        <v>2357</v>
      </c>
      <c r="J4716" s="70">
        <v>0.99816176470588236</v>
      </c>
    </row>
    <row r="4717" spans="9:10" x14ac:dyDescent="0.3">
      <c r="I4717" s="72">
        <v>2357.5</v>
      </c>
      <c r="J4717" s="70">
        <v>0.99816176470588236</v>
      </c>
    </row>
    <row r="4718" spans="9:10" x14ac:dyDescent="0.3">
      <c r="I4718" s="72">
        <v>2358</v>
      </c>
      <c r="J4718" s="70">
        <v>0.99816176470588236</v>
      </c>
    </row>
    <row r="4719" spans="9:10" x14ac:dyDescent="0.3">
      <c r="I4719" s="72">
        <v>2358.5</v>
      </c>
      <c r="J4719" s="70">
        <v>0.99816176470588236</v>
      </c>
    </row>
    <row r="4720" spans="9:10" x14ac:dyDescent="0.3">
      <c r="I4720" s="72">
        <v>2359</v>
      </c>
      <c r="J4720" s="70">
        <v>0.99816176470588236</v>
      </c>
    </row>
    <row r="4721" spans="9:10" x14ac:dyDescent="0.3">
      <c r="I4721" s="72">
        <v>2359.5</v>
      </c>
      <c r="J4721" s="70">
        <v>0.99816176470588236</v>
      </c>
    </row>
    <row r="4722" spans="9:10" x14ac:dyDescent="0.3">
      <c r="I4722" s="72">
        <v>2360</v>
      </c>
      <c r="J4722" s="70">
        <v>0.99816176470588236</v>
      </c>
    </row>
    <row r="4723" spans="9:10" x14ac:dyDescent="0.3">
      <c r="I4723" s="72">
        <v>2360.5</v>
      </c>
      <c r="J4723" s="70">
        <v>0.99816176470588236</v>
      </c>
    </row>
    <row r="4724" spans="9:10" x14ac:dyDescent="0.3">
      <c r="I4724" s="72">
        <v>2361</v>
      </c>
      <c r="J4724" s="70">
        <v>0.99816176470588236</v>
      </c>
    </row>
    <row r="4725" spans="9:10" x14ac:dyDescent="0.3">
      <c r="I4725" s="72">
        <v>2361.5</v>
      </c>
      <c r="J4725" s="70">
        <v>0.99816176470588236</v>
      </c>
    </row>
    <row r="4726" spans="9:10" x14ac:dyDescent="0.3">
      <c r="I4726" s="72">
        <v>2362</v>
      </c>
      <c r="J4726" s="70">
        <v>0.99816176470588236</v>
      </c>
    </row>
    <row r="4727" spans="9:10" x14ac:dyDescent="0.3">
      <c r="I4727" s="72">
        <v>2362.5</v>
      </c>
      <c r="J4727" s="70">
        <v>0.99816176470588236</v>
      </c>
    </row>
    <row r="4728" spans="9:10" x14ac:dyDescent="0.3">
      <c r="I4728" s="72">
        <v>2363</v>
      </c>
      <c r="J4728" s="70">
        <v>0.99816176470588236</v>
      </c>
    </row>
    <row r="4729" spans="9:10" x14ac:dyDescent="0.3">
      <c r="I4729" s="72">
        <v>2363.5</v>
      </c>
      <c r="J4729" s="70">
        <v>0.99816176470588236</v>
      </c>
    </row>
    <row r="4730" spans="9:10" x14ac:dyDescent="0.3">
      <c r="I4730" s="72">
        <v>2364</v>
      </c>
      <c r="J4730" s="70">
        <v>0.99816176470588236</v>
      </c>
    </row>
    <row r="4731" spans="9:10" x14ac:dyDescent="0.3">
      <c r="I4731" s="72">
        <v>2364.5</v>
      </c>
      <c r="J4731" s="70">
        <v>0.99816176470588236</v>
      </c>
    </row>
    <row r="4732" spans="9:10" x14ac:dyDescent="0.3">
      <c r="I4732" s="72">
        <v>2365</v>
      </c>
      <c r="J4732" s="70">
        <v>0.99816176470588236</v>
      </c>
    </row>
    <row r="4733" spans="9:10" x14ac:dyDescent="0.3">
      <c r="I4733" s="72">
        <v>2365.5</v>
      </c>
      <c r="J4733" s="70">
        <v>0.99816176470588236</v>
      </c>
    </row>
    <row r="4734" spans="9:10" x14ac:dyDescent="0.3">
      <c r="I4734" s="72">
        <v>2366</v>
      </c>
      <c r="J4734" s="70">
        <v>0.99816176470588236</v>
      </c>
    </row>
    <row r="4735" spans="9:10" x14ac:dyDescent="0.3">
      <c r="I4735" s="72">
        <v>2366.5</v>
      </c>
      <c r="J4735" s="70">
        <v>0.99816176470588236</v>
      </c>
    </row>
    <row r="4736" spans="9:10" x14ac:dyDescent="0.3">
      <c r="I4736" s="72">
        <v>2367</v>
      </c>
      <c r="J4736" s="70">
        <v>0.99816176470588236</v>
      </c>
    </row>
    <row r="4737" spans="9:10" x14ac:dyDescent="0.3">
      <c r="I4737" s="72">
        <v>2367.5</v>
      </c>
      <c r="J4737" s="70">
        <v>0.99816176470588236</v>
      </c>
    </row>
    <row r="4738" spans="9:10" x14ac:dyDescent="0.3">
      <c r="I4738" s="72">
        <v>2368</v>
      </c>
      <c r="J4738" s="70">
        <v>0.99816176470588236</v>
      </c>
    </row>
    <row r="4739" spans="9:10" x14ac:dyDescent="0.3">
      <c r="I4739" s="72">
        <v>2368.5</v>
      </c>
      <c r="J4739" s="70">
        <v>0.99816176470588236</v>
      </c>
    </row>
    <row r="4740" spans="9:10" x14ac:dyDescent="0.3">
      <c r="I4740" s="72">
        <v>2369</v>
      </c>
      <c r="J4740" s="70">
        <v>0.99816176470588236</v>
      </c>
    </row>
    <row r="4741" spans="9:10" x14ac:dyDescent="0.3">
      <c r="I4741" s="72">
        <v>2369.5</v>
      </c>
      <c r="J4741" s="70">
        <v>0.99816176470588236</v>
      </c>
    </row>
    <row r="4742" spans="9:10" x14ac:dyDescent="0.3">
      <c r="I4742" s="72">
        <v>2370</v>
      </c>
      <c r="J4742" s="70">
        <v>0.99816176470588236</v>
      </c>
    </row>
    <row r="4743" spans="9:10" x14ac:dyDescent="0.3">
      <c r="I4743" s="72">
        <v>2370.5</v>
      </c>
      <c r="J4743" s="70">
        <v>0.99816176470588236</v>
      </c>
    </row>
    <row r="4744" spans="9:10" x14ac:dyDescent="0.3">
      <c r="I4744" s="72">
        <v>2371</v>
      </c>
      <c r="J4744" s="70">
        <v>0.99816176470588236</v>
      </c>
    </row>
    <row r="4745" spans="9:10" x14ac:dyDescent="0.3">
      <c r="I4745" s="72">
        <v>2371.5</v>
      </c>
      <c r="J4745" s="70">
        <v>0.99816176470588236</v>
      </c>
    </row>
    <row r="4746" spans="9:10" x14ac:dyDescent="0.3">
      <c r="I4746" s="72">
        <v>2372</v>
      </c>
      <c r="J4746" s="70">
        <v>0.99816176470588236</v>
      </c>
    </row>
    <row r="4747" spans="9:10" x14ac:dyDescent="0.3">
      <c r="I4747" s="72">
        <v>2372.5</v>
      </c>
      <c r="J4747" s="70">
        <v>0.99816176470588236</v>
      </c>
    </row>
    <row r="4748" spans="9:10" x14ac:dyDescent="0.3">
      <c r="I4748" s="72">
        <v>2373</v>
      </c>
      <c r="J4748" s="70">
        <v>0.99816176470588236</v>
      </c>
    </row>
    <row r="4749" spans="9:10" x14ac:dyDescent="0.3">
      <c r="I4749" s="72">
        <v>2373.5</v>
      </c>
      <c r="J4749" s="70">
        <v>0.99816176470588236</v>
      </c>
    </row>
    <row r="4750" spans="9:10" x14ac:dyDescent="0.3">
      <c r="I4750" s="72">
        <v>2374</v>
      </c>
      <c r="J4750" s="70">
        <v>0.99816176470588236</v>
      </c>
    </row>
    <row r="4751" spans="9:10" x14ac:dyDescent="0.3">
      <c r="I4751" s="72">
        <v>2374.5</v>
      </c>
      <c r="J4751" s="70">
        <v>0.99816176470588236</v>
      </c>
    </row>
    <row r="4752" spans="9:10" x14ac:dyDescent="0.3">
      <c r="I4752" s="72">
        <v>2375</v>
      </c>
      <c r="J4752" s="70">
        <v>0.99816176470588236</v>
      </c>
    </row>
    <row r="4753" spans="9:10" x14ac:dyDescent="0.3">
      <c r="I4753" s="72">
        <v>2375.5</v>
      </c>
      <c r="J4753" s="70">
        <v>0.99816176470588236</v>
      </c>
    </row>
    <row r="4754" spans="9:10" x14ac:dyDescent="0.3">
      <c r="I4754" s="72">
        <v>2376</v>
      </c>
      <c r="J4754" s="70">
        <v>0.99816176470588236</v>
      </c>
    </row>
    <row r="4755" spans="9:10" x14ac:dyDescent="0.3">
      <c r="I4755" s="72">
        <v>2376.5</v>
      </c>
      <c r="J4755" s="70">
        <v>0.99816176470588236</v>
      </c>
    </row>
    <row r="4756" spans="9:10" x14ac:dyDescent="0.3">
      <c r="I4756" s="72">
        <v>2377</v>
      </c>
      <c r="J4756" s="70">
        <v>0.99816176470588236</v>
      </c>
    </row>
    <row r="4757" spans="9:10" x14ac:dyDescent="0.3">
      <c r="I4757" s="72">
        <v>2377.5</v>
      </c>
      <c r="J4757" s="70">
        <v>0.99816176470588236</v>
      </c>
    </row>
    <row r="4758" spans="9:10" x14ac:dyDescent="0.3">
      <c r="I4758" s="72">
        <v>2378</v>
      </c>
      <c r="J4758" s="70">
        <v>0.99816176470588236</v>
      </c>
    </row>
    <row r="4759" spans="9:10" x14ac:dyDescent="0.3">
      <c r="I4759" s="72">
        <v>2378.5</v>
      </c>
      <c r="J4759" s="70">
        <v>0.99816176470588236</v>
      </c>
    </row>
    <row r="4760" spans="9:10" x14ac:dyDescent="0.3">
      <c r="I4760" s="72">
        <v>2379</v>
      </c>
      <c r="J4760" s="70">
        <v>0.99816176470588236</v>
      </c>
    </row>
    <row r="4761" spans="9:10" x14ac:dyDescent="0.3">
      <c r="I4761" s="72">
        <v>2379.5</v>
      </c>
      <c r="J4761" s="70">
        <v>0.99816176470588236</v>
      </c>
    </row>
    <row r="4762" spans="9:10" x14ac:dyDescent="0.3">
      <c r="I4762" s="72">
        <v>2380</v>
      </c>
      <c r="J4762" s="70">
        <v>0.99816176470588236</v>
      </c>
    </row>
    <row r="4763" spans="9:10" x14ac:dyDescent="0.3">
      <c r="I4763" s="72">
        <v>2380.5</v>
      </c>
      <c r="J4763" s="70">
        <v>0.99816176470588236</v>
      </c>
    </row>
    <row r="4764" spans="9:10" x14ac:dyDescent="0.3">
      <c r="I4764" s="72">
        <v>2381</v>
      </c>
      <c r="J4764" s="70">
        <v>0.99816176470588236</v>
      </c>
    </row>
    <row r="4765" spans="9:10" x14ac:dyDescent="0.3">
      <c r="I4765" s="72">
        <v>2381.5</v>
      </c>
      <c r="J4765" s="70">
        <v>0.99816176470588236</v>
      </c>
    </row>
    <row r="4766" spans="9:10" x14ac:dyDescent="0.3">
      <c r="I4766" s="72">
        <v>2382</v>
      </c>
      <c r="J4766" s="70">
        <v>0.99816176470588236</v>
      </c>
    </row>
    <row r="4767" spans="9:10" x14ac:dyDescent="0.3">
      <c r="I4767" s="72">
        <v>2382.5</v>
      </c>
      <c r="J4767" s="70">
        <v>0.99816176470588236</v>
      </c>
    </row>
    <row r="4768" spans="9:10" x14ac:dyDescent="0.3">
      <c r="I4768" s="72">
        <v>2383</v>
      </c>
      <c r="J4768" s="70">
        <v>0.99816176470588236</v>
      </c>
    </row>
    <row r="4769" spans="9:10" x14ac:dyDescent="0.3">
      <c r="I4769" s="72">
        <v>2383.5</v>
      </c>
      <c r="J4769" s="70">
        <v>0.99816176470588236</v>
      </c>
    </row>
    <row r="4770" spans="9:10" x14ac:dyDescent="0.3">
      <c r="I4770" s="72">
        <v>2384</v>
      </c>
      <c r="J4770" s="70">
        <v>0.99816176470588236</v>
      </c>
    </row>
    <row r="4771" spans="9:10" x14ac:dyDescent="0.3">
      <c r="I4771" s="72">
        <v>2384.5</v>
      </c>
      <c r="J4771" s="70">
        <v>0.99816176470588236</v>
      </c>
    </row>
    <row r="4772" spans="9:10" x14ac:dyDescent="0.3">
      <c r="I4772" s="72">
        <v>2385</v>
      </c>
      <c r="J4772" s="70">
        <v>0.99816176470588236</v>
      </c>
    </row>
    <row r="4773" spans="9:10" x14ac:dyDescent="0.3">
      <c r="I4773" s="72">
        <v>2385.5</v>
      </c>
      <c r="J4773" s="70">
        <v>0.99816176470588236</v>
      </c>
    </row>
    <row r="4774" spans="9:10" x14ac:dyDescent="0.3">
      <c r="I4774" s="72">
        <v>2386</v>
      </c>
      <c r="J4774" s="70">
        <v>0.99816176470588236</v>
      </c>
    </row>
    <row r="4775" spans="9:10" x14ac:dyDescent="0.3">
      <c r="I4775" s="72">
        <v>2386.5</v>
      </c>
      <c r="J4775" s="70">
        <v>0.99816176470588236</v>
      </c>
    </row>
    <row r="4776" spans="9:10" x14ac:dyDescent="0.3">
      <c r="I4776" s="72">
        <v>2387</v>
      </c>
      <c r="J4776" s="70">
        <v>0.99816176470588236</v>
      </c>
    </row>
    <row r="4777" spans="9:10" x14ac:dyDescent="0.3">
      <c r="I4777" s="72">
        <v>2387.5</v>
      </c>
      <c r="J4777" s="70">
        <v>0.99816176470588236</v>
      </c>
    </row>
    <row r="4778" spans="9:10" x14ac:dyDescent="0.3">
      <c r="I4778" s="72">
        <v>2388</v>
      </c>
      <c r="J4778" s="70">
        <v>0.99816176470588236</v>
      </c>
    </row>
    <row r="4779" spans="9:10" x14ac:dyDescent="0.3">
      <c r="I4779" s="72">
        <v>2388.5</v>
      </c>
      <c r="J4779" s="70">
        <v>0.99816176470588236</v>
      </c>
    </row>
    <row r="4780" spans="9:10" x14ac:dyDescent="0.3">
      <c r="I4780" s="72">
        <v>2389</v>
      </c>
      <c r="J4780" s="70">
        <v>0.99816176470588236</v>
      </c>
    </row>
    <row r="4781" spans="9:10" x14ac:dyDescent="0.3">
      <c r="I4781" s="72">
        <v>2389.5</v>
      </c>
      <c r="J4781" s="70">
        <v>0.99816176470588236</v>
      </c>
    </row>
    <row r="4782" spans="9:10" x14ac:dyDescent="0.3">
      <c r="I4782" s="72">
        <v>2390</v>
      </c>
      <c r="J4782" s="70">
        <v>0.99816176470588236</v>
      </c>
    </row>
    <row r="4783" spans="9:10" x14ac:dyDescent="0.3">
      <c r="I4783" s="72">
        <v>2390.5</v>
      </c>
      <c r="J4783" s="70">
        <v>0.99816176470588236</v>
      </c>
    </row>
    <row r="4784" spans="9:10" x14ac:dyDescent="0.3">
      <c r="I4784" s="72">
        <v>2391</v>
      </c>
      <c r="J4784" s="70">
        <v>0.99816176470588236</v>
      </c>
    </row>
    <row r="4785" spans="9:10" x14ac:dyDescent="0.3">
      <c r="I4785" s="72">
        <v>2391.5</v>
      </c>
      <c r="J4785" s="70">
        <v>0.99816176470588236</v>
      </c>
    </row>
    <row r="4786" spans="9:10" x14ac:dyDescent="0.3">
      <c r="I4786" s="72">
        <v>2392</v>
      </c>
      <c r="J4786" s="70">
        <v>0.99816176470588236</v>
      </c>
    </row>
    <row r="4787" spans="9:10" x14ac:dyDescent="0.3">
      <c r="I4787" s="72">
        <v>2392.5</v>
      </c>
      <c r="J4787" s="70">
        <v>0.99816176470588236</v>
      </c>
    </row>
    <row r="4788" spans="9:10" x14ac:dyDescent="0.3">
      <c r="I4788" s="72">
        <v>2393</v>
      </c>
      <c r="J4788" s="70">
        <v>0.99816176470588236</v>
      </c>
    </row>
    <row r="4789" spans="9:10" x14ac:dyDescent="0.3">
      <c r="I4789" s="72">
        <v>2393.5</v>
      </c>
      <c r="J4789" s="70">
        <v>0.99816176470588236</v>
      </c>
    </row>
    <row r="4790" spans="9:10" x14ac:dyDescent="0.3">
      <c r="I4790" s="72">
        <v>2394</v>
      </c>
      <c r="J4790" s="70">
        <v>0.99816176470588236</v>
      </c>
    </row>
    <row r="4791" spans="9:10" x14ac:dyDescent="0.3">
      <c r="I4791" s="72">
        <v>2394.5</v>
      </c>
      <c r="J4791" s="70">
        <v>0.99816176470588236</v>
      </c>
    </row>
    <row r="4792" spans="9:10" x14ac:dyDescent="0.3">
      <c r="I4792" s="72">
        <v>2395</v>
      </c>
      <c r="J4792" s="70">
        <v>0.99816176470588236</v>
      </c>
    </row>
    <row r="4793" spans="9:10" x14ac:dyDescent="0.3">
      <c r="I4793" s="72">
        <v>2395.5</v>
      </c>
      <c r="J4793" s="70">
        <v>0.99816176470588236</v>
      </c>
    </row>
    <row r="4794" spans="9:10" x14ac:dyDescent="0.3">
      <c r="I4794" s="72">
        <v>2396</v>
      </c>
      <c r="J4794" s="70">
        <v>0.99816176470588236</v>
      </c>
    </row>
    <row r="4795" spans="9:10" x14ac:dyDescent="0.3">
      <c r="I4795" s="72">
        <v>2396.5</v>
      </c>
      <c r="J4795" s="70">
        <v>0.99816176470588236</v>
      </c>
    </row>
    <row r="4796" spans="9:10" x14ac:dyDescent="0.3">
      <c r="I4796" s="72">
        <v>2397</v>
      </c>
      <c r="J4796" s="70">
        <v>0.99816176470588236</v>
      </c>
    </row>
    <row r="4797" spans="9:10" x14ac:dyDescent="0.3">
      <c r="I4797" s="72">
        <v>2397.5</v>
      </c>
      <c r="J4797" s="70">
        <v>0.99816176470588236</v>
      </c>
    </row>
    <row r="4798" spans="9:10" x14ac:dyDescent="0.3">
      <c r="I4798" s="72">
        <v>2398</v>
      </c>
      <c r="J4798" s="70">
        <v>0.99816176470588236</v>
      </c>
    </row>
    <row r="4799" spans="9:10" x14ac:dyDescent="0.3">
      <c r="I4799" s="72">
        <v>2398.5</v>
      </c>
      <c r="J4799" s="70">
        <v>0.99816176470588236</v>
      </c>
    </row>
    <row r="4800" spans="9:10" x14ac:dyDescent="0.3">
      <c r="I4800" s="72">
        <v>2399</v>
      </c>
      <c r="J4800" s="70">
        <v>0.99816176470588236</v>
      </c>
    </row>
    <row r="4801" spans="9:10" x14ac:dyDescent="0.3">
      <c r="I4801" s="72">
        <v>2399.5</v>
      </c>
      <c r="J4801" s="70">
        <v>0.99816176470588236</v>
      </c>
    </row>
    <row r="4802" spans="9:10" x14ac:dyDescent="0.3">
      <c r="I4802" s="72">
        <v>2400</v>
      </c>
      <c r="J4802" s="70">
        <v>0.99816176470588236</v>
      </c>
    </row>
    <row r="4803" spans="9:10" x14ac:dyDescent="0.3">
      <c r="I4803" s="72">
        <v>2400.5</v>
      </c>
      <c r="J4803" s="70">
        <v>0.99816176470588236</v>
      </c>
    </row>
    <row r="4804" spans="9:10" x14ac:dyDescent="0.3">
      <c r="I4804" s="72">
        <v>2401</v>
      </c>
      <c r="J4804" s="70">
        <v>0.99816176470588236</v>
      </c>
    </row>
    <row r="4805" spans="9:10" x14ac:dyDescent="0.3">
      <c r="I4805" s="72">
        <v>2401.5</v>
      </c>
      <c r="J4805" s="70">
        <v>0.99816176470588236</v>
      </c>
    </row>
    <row r="4806" spans="9:10" x14ac:dyDescent="0.3">
      <c r="I4806" s="72">
        <v>2402</v>
      </c>
      <c r="J4806" s="70">
        <v>0.99816176470588236</v>
      </c>
    </row>
    <row r="4807" spans="9:10" x14ac:dyDescent="0.3">
      <c r="I4807" s="72">
        <v>2402.5</v>
      </c>
      <c r="J4807" s="70">
        <v>0.99816176470588236</v>
      </c>
    </row>
    <row r="4808" spans="9:10" x14ac:dyDescent="0.3">
      <c r="I4808" s="72">
        <v>2403</v>
      </c>
      <c r="J4808" s="70">
        <v>0.99816176470588236</v>
      </c>
    </row>
    <row r="4809" spans="9:10" x14ac:dyDescent="0.3">
      <c r="I4809" s="72">
        <v>2403.5</v>
      </c>
      <c r="J4809" s="70">
        <v>0.99816176470588236</v>
      </c>
    </row>
    <row r="4810" spans="9:10" x14ac:dyDescent="0.3">
      <c r="I4810" s="72">
        <v>2404</v>
      </c>
      <c r="J4810" s="70">
        <v>0.99816176470588236</v>
      </c>
    </row>
    <row r="4811" spans="9:10" x14ac:dyDescent="0.3">
      <c r="I4811" s="72">
        <v>2404.5</v>
      </c>
      <c r="J4811" s="70">
        <v>0.99816176470588236</v>
      </c>
    </row>
    <row r="4812" spans="9:10" x14ac:dyDescent="0.3">
      <c r="I4812" s="72">
        <v>2405</v>
      </c>
      <c r="J4812" s="70">
        <v>0.99816176470588236</v>
      </c>
    </row>
    <row r="4813" spans="9:10" x14ac:dyDescent="0.3">
      <c r="I4813" s="72">
        <v>2405.5</v>
      </c>
      <c r="J4813" s="70">
        <v>0.99816176470588236</v>
      </c>
    </row>
    <row r="4814" spans="9:10" x14ac:dyDescent="0.3">
      <c r="I4814" s="72">
        <v>2406</v>
      </c>
      <c r="J4814" s="70">
        <v>0.99816176470588236</v>
      </c>
    </row>
    <row r="4815" spans="9:10" x14ac:dyDescent="0.3">
      <c r="I4815" s="72">
        <v>2406.5</v>
      </c>
      <c r="J4815" s="70">
        <v>0.99816176470588236</v>
      </c>
    </row>
    <row r="4816" spans="9:10" x14ac:dyDescent="0.3">
      <c r="I4816" s="72">
        <v>2407</v>
      </c>
      <c r="J4816" s="70">
        <v>0.99816176470588236</v>
      </c>
    </row>
    <row r="4817" spans="9:10" x14ac:dyDescent="0.3">
      <c r="I4817" s="72">
        <v>2407.5</v>
      </c>
      <c r="J4817" s="70">
        <v>0.99816176470588236</v>
      </c>
    </row>
    <row r="4818" spans="9:10" x14ac:dyDescent="0.3">
      <c r="I4818" s="72">
        <v>2408</v>
      </c>
      <c r="J4818" s="70">
        <v>0.99816176470588236</v>
      </c>
    </row>
    <row r="4819" spans="9:10" x14ac:dyDescent="0.3">
      <c r="I4819" s="72">
        <v>2408.5</v>
      </c>
      <c r="J4819" s="70">
        <v>0.99816176470588236</v>
      </c>
    </row>
    <row r="4820" spans="9:10" x14ac:dyDescent="0.3">
      <c r="I4820" s="72">
        <v>2409</v>
      </c>
      <c r="J4820" s="70">
        <v>0.99816176470588236</v>
      </c>
    </row>
    <row r="4821" spans="9:10" x14ac:dyDescent="0.3">
      <c r="I4821" s="72">
        <v>2409.5</v>
      </c>
      <c r="J4821" s="70">
        <v>0.99816176470588236</v>
      </c>
    </row>
    <row r="4822" spans="9:10" x14ac:dyDescent="0.3">
      <c r="I4822" s="72">
        <v>2410</v>
      </c>
      <c r="J4822" s="70">
        <v>0.99816176470588236</v>
      </c>
    </row>
    <row r="4823" spans="9:10" x14ac:dyDescent="0.3">
      <c r="I4823" s="72">
        <v>2410.5</v>
      </c>
      <c r="J4823" s="70">
        <v>0.99816176470588236</v>
      </c>
    </row>
    <row r="4824" spans="9:10" x14ac:dyDescent="0.3">
      <c r="I4824" s="72">
        <v>2411</v>
      </c>
      <c r="J4824" s="70">
        <v>0.99816176470588236</v>
      </c>
    </row>
    <row r="4825" spans="9:10" x14ac:dyDescent="0.3">
      <c r="I4825" s="72">
        <v>2411.5</v>
      </c>
      <c r="J4825" s="70">
        <v>0.99816176470588236</v>
      </c>
    </row>
    <row r="4826" spans="9:10" x14ac:dyDescent="0.3">
      <c r="I4826" s="72">
        <v>2412</v>
      </c>
      <c r="J4826" s="70">
        <v>0.99816176470588236</v>
      </c>
    </row>
    <row r="4827" spans="9:10" x14ac:dyDescent="0.3">
      <c r="I4827" s="72">
        <v>2412.5</v>
      </c>
      <c r="J4827" s="70">
        <v>0.99816176470588236</v>
      </c>
    </row>
    <row r="4828" spans="9:10" x14ac:dyDescent="0.3">
      <c r="I4828" s="72">
        <v>2413</v>
      </c>
      <c r="J4828" s="70">
        <v>0.99816176470588236</v>
      </c>
    </row>
    <row r="4829" spans="9:10" x14ac:dyDescent="0.3">
      <c r="I4829" s="72">
        <v>2413.5</v>
      </c>
      <c r="J4829" s="70">
        <v>0.99816176470588236</v>
      </c>
    </row>
    <row r="4830" spans="9:10" x14ac:dyDescent="0.3">
      <c r="I4830" s="72">
        <v>2414</v>
      </c>
      <c r="J4830" s="70">
        <v>0.99816176470588236</v>
      </c>
    </row>
    <row r="4831" spans="9:10" x14ac:dyDescent="0.3">
      <c r="I4831" s="72">
        <v>2414.5</v>
      </c>
      <c r="J4831" s="70">
        <v>0.99816176470588236</v>
      </c>
    </row>
    <row r="4832" spans="9:10" x14ac:dyDescent="0.3">
      <c r="I4832" s="72">
        <v>2415</v>
      </c>
      <c r="J4832" s="70">
        <v>0.99816176470588236</v>
      </c>
    </row>
    <row r="4833" spans="9:10" x14ac:dyDescent="0.3">
      <c r="I4833" s="72">
        <v>2415.5</v>
      </c>
      <c r="J4833" s="70">
        <v>0.99816176470588236</v>
      </c>
    </row>
    <row r="4834" spans="9:10" x14ac:dyDescent="0.3">
      <c r="I4834" s="72">
        <v>2416</v>
      </c>
      <c r="J4834" s="70">
        <v>0.99816176470588236</v>
      </c>
    </row>
    <row r="4835" spans="9:10" x14ac:dyDescent="0.3">
      <c r="I4835" s="72">
        <v>2416.5</v>
      </c>
      <c r="J4835" s="70">
        <v>0.99816176470588236</v>
      </c>
    </row>
    <row r="4836" spans="9:10" x14ac:dyDescent="0.3">
      <c r="I4836" s="72">
        <v>2417</v>
      </c>
      <c r="J4836" s="70">
        <v>0.99816176470588236</v>
      </c>
    </row>
    <row r="4837" spans="9:10" x14ac:dyDescent="0.3">
      <c r="I4837" s="72">
        <v>2417.5</v>
      </c>
      <c r="J4837" s="70">
        <v>0.99816176470588236</v>
      </c>
    </row>
    <row r="4838" spans="9:10" x14ac:dyDescent="0.3">
      <c r="I4838" s="72">
        <v>2418</v>
      </c>
      <c r="J4838" s="70">
        <v>0.99816176470588236</v>
      </c>
    </row>
    <row r="4839" spans="9:10" x14ac:dyDescent="0.3">
      <c r="I4839" s="72">
        <v>2418.5</v>
      </c>
      <c r="J4839" s="70">
        <v>0.99816176470588236</v>
      </c>
    </row>
    <row r="4840" spans="9:10" x14ac:dyDescent="0.3">
      <c r="I4840" s="72">
        <v>2419</v>
      </c>
      <c r="J4840" s="70">
        <v>0.99816176470588236</v>
      </c>
    </row>
    <row r="4841" spans="9:10" x14ac:dyDescent="0.3">
      <c r="I4841" s="72">
        <v>2419.5</v>
      </c>
      <c r="J4841" s="70">
        <v>0.99816176470588236</v>
      </c>
    </row>
    <row r="4842" spans="9:10" x14ac:dyDescent="0.3">
      <c r="I4842" s="72">
        <v>2420</v>
      </c>
      <c r="J4842" s="70">
        <v>0.99816176470588236</v>
      </c>
    </row>
    <row r="4843" spans="9:10" x14ac:dyDescent="0.3">
      <c r="I4843" s="72">
        <v>2420.5</v>
      </c>
      <c r="J4843" s="70">
        <v>0.99816176470588236</v>
      </c>
    </row>
    <row r="4844" spans="9:10" x14ac:dyDescent="0.3">
      <c r="I4844" s="72">
        <v>2421</v>
      </c>
      <c r="J4844" s="70">
        <v>0.99816176470588236</v>
      </c>
    </row>
    <row r="4845" spans="9:10" x14ac:dyDescent="0.3">
      <c r="I4845" s="72">
        <v>2421.5</v>
      </c>
      <c r="J4845" s="70">
        <v>0.99816176470588236</v>
      </c>
    </row>
    <row r="4846" spans="9:10" x14ac:dyDescent="0.3">
      <c r="I4846" s="72">
        <v>2422</v>
      </c>
      <c r="J4846" s="70">
        <v>0.99816176470588236</v>
      </c>
    </row>
    <row r="4847" spans="9:10" x14ac:dyDescent="0.3">
      <c r="I4847" s="72">
        <v>2422.5</v>
      </c>
      <c r="J4847" s="70">
        <v>0.99816176470588236</v>
      </c>
    </row>
    <row r="4848" spans="9:10" x14ac:dyDescent="0.3">
      <c r="I4848" s="72">
        <v>2423</v>
      </c>
      <c r="J4848" s="70">
        <v>0.99816176470588236</v>
      </c>
    </row>
    <row r="4849" spans="9:10" x14ac:dyDescent="0.3">
      <c r="I4849" s="72">
        <v>2423.5</v>
      </c>
      <c r="J4849" s="70">
        <v>0.99816176470588236</v>
      </c>
    </row>
    <row r="4850" spans="9:10" x14ac:dyDescent="0.3">
      <c r="I4850" s="72">
        <v>2424</v>
      </c>
      <c r="J4850" s="70">
        <v>0.99816176470588236</v>
      </c>
    </row>
    <row r="4851" spans="9:10" x14ac:dyDescent="0.3">
      <c r="I4851" s="72">
        <v>2424.5</v>
      </c>
      <c r="J4851" s="70">
        <v>0.99816176470588236</v>
      </c>
    </row>
    <row r="4852" spans="9:10" x14ac:dyDescent="0.3">
      <c r="I4852" s="72">
        <v>2425</v>
      </c>
      <c r="J4852" s="70">
        <v>0.99816176470588236</v>
      </c>
    </row>
    <row r="4853" spans="9:10" x14ac:dyDescent="0.3">
      <c r="I4853" s="72">
        <v>2425.5</v>
      </c>
      <c r="J4853" s="70">
        <v>0.99816176470588236</v>
      </c>
    </row>
    <row r="4854" spans="9:10" x14ac:dyDescent="0.3">
      <c r="I4854" s="72">
        <v>2426</v>
      </c>
      <c r="J4854" s="70">
        <v>0.99816176470588236</v>
      </c>
    </row>
    <row r="4855" spans="9:10" x14ac:dyDescent="0.3">
      <c r="I4855" s="72">
        <v>2426.5</v>
      </c>
      <c r="J4855" s="70">
        <v>0.99816176470588236</v>
      </c>
    </row>
    <row r="4856" spans="9:10" x14ac:dyDescent="0.3">
      <c r="I4856" s="72">
        <v>2427</v>
      </c>
      <c r="J4856" s="70">
        <v>0.99816176470588236</v>
      </c>
    </row>
    <row r="4857" spans="9:10" x14ac:dyDescent="0.3">
      <c r="I4857" s="72">
        <v>2427.5</v>
      </c>
      <c r="J4857" s="70">
        <v>0.99816176470588236</v>
      </c>
    </row>
    <row r="4858" spans="9:10" x14ac:dyDescent="0.3">
      <c r="I4858" s="72">
        <v>2428</v>
      </c>
      <c r="J4858" s="70">
        <v>0.99816176470588236</v>
      </c>
    </row>
    <row r="4859" spans="9:10" x14ac:dyDescent="0.3">
      <c r="I4859" s="72">
        <v>2428.5</v>
      </c>
      <c r="J4859" s="70">
        <v>0.99816176470588236</v>
      </c>
    </row>
    <row r="4860" spans="9:10" x14ac:dyDescent="0.3">
      <c r="I4860" s="72">
        <v>2429</v>
      </c>
      <c r="J4860" s="70">
        <v>0.99816176470588236</v>
      </c>
    </row>
    <row r="4861" spans="9:10" x14ac:dyDescent="0.3">
      <c r="I4861" s="72">
        <v>2429.5</v>
      </c>
      <c r="J4861" s="70">
        <v>0.99816176470588236</v>
      </c>
    </row>
    <row r="4862" spans="9:10" x14ac:dyDescent="0.3">
      <c r="I4862" s="72">
        <v>2430</v>
      </c>
      <c r="J4862" s="70">
        <v>0.99816176470588236</v>
      </c>
    </row>
    <row r="4863" spans="9:10" x14ac:dyDescent="0.3">
      <c r="I4863" s="72">
        <v>2430.5</v>
      </c>
      <c r="J4863" s="70">
        <v>0.99816176470588236</v>
      </c>
    </row>
    <row r="4864" spans="9:10" x14ac:dyDescent="0.3">
      <c r="I4864" s="72">
        <v>2431</v>
      </c>
      <c r="J4864" s="70">
        <v>0.99816176470588236</v>
      </c>
    </row>
    <row r="4865" spans="9:10" x14ac:dyDescent="0.3">
      <c r="I4865" s="72">
        <v>2431.5</v>
      </c>
      <c r="J4865" s="70">
        <v>0.99816176470588236</v>
      </c>
    </row>
    <row r="4866" spans="9:10" x14ac:dyDescent="0.3">
      <c r="I4866" s="72">
        <v>2432</v>
      </c>
      <c r="J4866" s="70">
        <v>0.99816176470588236</v>
      </c>
    </row>
    <row r="4867" spans="9:10" x14ac:dyDescent="0.3">
      <c r="I4867" s="72">
        <v>2432.5</v>
      </c>
      <c r="J4867" s="70">
        <v>0.99816176470588236</v>
      </c>
    </row>
    <row r="4868" spans="9:10" x14ac:dyDescent="0.3">
      <c r="I4868" s="72">
        <v>2433</v>
      </c>
      <c r="J4868" s="70">
        <v>0.99816176470588236</v>
      </c>
    </row>
    <row r="4869" spans="9:10" x14ac:dyDescent="0.3">
      <c r="I4869" s="72">
        <v>2433.5</v>
      </c>
      <c r="J4869" s="70">
        <v>0.99816176470588236</v>
      </c>
    </row>
    <row r="4870" spans="9:10" x14ac:dyDescent="0.3">
      <c r="I4870" s="72">
        <v>2434</v>
      </c>
      <c r="J4870" s="70">
        <v>0.99816176470588236</v>
      </c>
    </row>
    <row r="4871" spans="9:10" x14ac:dyDescent="0.3">
      <c r="I4871" s="72">
        <v>2434.5</v>
      </c>
      <c r="J4871" s="70">
        <v>0.99816176470588236</v>
      </c>
    </row>
    <row r="4872" spans="9:10" x14ac:dyDescent="0.3">
      <c r="I4872" s="72">
        <v>2435</v>
      </c>
      <c r="J4872" s="70">
        <v>0.99816176470588236</v>
      </c>
    </row>
    <row r="4873" spans="9:10" x14ac:dyDescent="0.3">
      <c r="I4873" s="72">
        <v>2435.5</v>
      </c>
      <c r="J4873" s="70">
        <v>0.99816176470588236</v>
      </c>
    </row>
    <row r="4874" spans="9:10" x14ac:dyDescent="0.3">
      <c r="I4874" s="72">
        <v>2436</v>
      </c>
      <c r="J4874" s="70">
        <v>0.99816176470588236</v>
      </c>
    </row>
    <row r="4875" spans="9:10" x14ac:dyDescent="0.3">
      <c r="I4875" s="72">
        <v>2436.5</v>
      </c>
      <c r="J4875" s="70">
        <v>0.99816176470588236</v>
      </c>
    </row>
    <row r="4876" spans="9:10" x14ac:dyDescent="0.3">
      <c r="I4876" s="72">
        <v>2437</v>
      </c>
      <c r="J4876" s="70">
        <v>0.99816176470588236</v>
      </c>
    </row>
    <row r="4877" spans="9:10" x14ac:dyDescent="0.3">
      <c r="I4877" s="72">
        <v>2437.5</v>
      </c>
      <c r="J4877" s="70">
        <v>0.99816176470588236</v>
      </c>
    </row>
    <row r="4878" spans="9:10" x14ac:dyDescent="0.3">
      <c r="I4878" s="72">
        <v>2438</v>
      </c>
      <c r="J4878" s="70">
        <v>0.99816176470588236</v>
      </c>
    </row>
    <row r="4879" spans="9:10" x14ac:dyDescent="0.3">
      <c r="I4879" s="72">
        <v>2438.5</v>
      </c>
      <c r="J4879" s="70">
        <v>0.99816176470588236</v>
      </c>
    </row>
    <row r="4880" spans="9:10" x14ac:dyDescent="0.3">
      <c r="I4880" s="72">
        <v>2439</v>
      </c>
      <c r="J4880" s="70">
        <v>0.99816176470588236</v>
      </c>
    </row>
    <row r="4881" spans="9:10" x14ac:dyDescent="0.3">
      <c r="I4881" s="72">
        <v>2439.5</v>
      </c>
      <c r="J4881" s="70">
        <v>0.99816176470588236</v>
      </c>
    </row>
    <row r="4882" spans="9:10" x14ac:dyDescent="0.3">
      <c r="I4882" s="72">
        <v>2440</v>
      </c>
      <c r="J4882" s="70">
        <v>0.99816176470588236</v>
      </c>
    </row>
    <row r="4883" spans="9:10" x14ac:dyDescent="0.3">
      <c r="I4883" s="72">
        <v>2440.5</v>
      </c>
      <c r="J4883" s="70">
        <v>0.99816176470588236</v>
      </c>
    </row>
    <row r="4884" spans="9:10" x14ac:dyDescent="0.3">
      <c r="I4884" s="72">
        <v>2441</v>
      </c>
      <c r="J4884" s="70">
        <v>0.99816176470588236</v>
      </c>
    </row>
    <row r="4885" spans="9:10" x14ac:dyDescent="0.3">
      <c r="I4885" s="72">
        <v>2441.5</v>
      </c>
      <c r="J4885" s="70">
        <v>0.99816176470588236</v>
      </c>
    </row>
    <row r="4886" spans="9:10" x14ac:dyDescent="0.3">
      <c r="I4886" s="72">
        <v>2442</v>
      </c>
      <c r="J4886" s="70">
        <v>0.99816176470588236</v>
      </c>
    </row>
    <row r="4887" spans="9:10" x14ac:dyDescent="0.3">
      <c r="I4887" s="72">
        <v>2442.5</v>
      </c>
      <c r="J4887" s="70">
        <v>0.99816176470588236</v>
      </c>
    </row>
    <row r="4888" spans="9:10" x14ac:dyDescent="0.3">
      <c r="I4888" s="72">
        <v>2443</v>
      </c>
      <c r="J4888" s="70">
        <v>0.99816176470588236</v>
      </c>
    </row>
    <row r="4889" spans="9:10" x14ac:dyDescent="0.3">
      <c r="I4889" s="72">
        <v>2443.5</v>
      </c>
      <c r="J4889" s="70">
        <v>0.99816176470588236</v>
      </c>
    </row>
    <row r="4890" spans="9:10" x14ac:dyDescent="0.3">
      <c r="I4890" s="72">
        <v>2444</v>
      </c>
      <c r="J4890" s="70">
        <v>0.99816176470588236</v>
      </c>
    </row>
    <row r="4891" spans="9:10" x14ac:dyDescent="0.3">
      <c r="I4891" s="72">
        <v>2444.5</v>
      </c>
      <c r="J4891" s="70">
        <v>0.99816176470588236</v>
      </c>
    </row>
    <row r="4892" spans="9:10" x14ac:dyDescent="0.3">
      <c r="I4892" s="72">
        <v>2445</v>
      </c>
      <c r="J4892" s="70">
        <v>0.99816176470588236</v>
      </c>
    </row>
    <row r="4893" spans="9:10" x14ac:dyDescent="0.3">
      <c r="I4893" s="72">
        <v>2445.5</v>
      </c>
      <c r="J4893" s="70">
        <v>0.99816176470588236</v>
      </c>
    </row>
    <row r="4894" spans="9:10" x14ac:dyDescent="0.3">
      <c r="I4894" s="72">
        <v>2446</v>
      </c>
      <c r="J4894" s="70">
        <v>0.99816176470588236</v>
      </c>
    </row>
    <row r="4895" spans="9:10" x14ac:dyDescent="0.3">
      <c r="I4895" s="72">
        <v>2446.5</v>
      </c>
      <c r="J4895" s="70">
        <v>0.99816176470588236</v>
      </c>
    </row>
    <row r="4896" spans="9:10" x14ac:dyDescent="0.3">
      <c r="I4896" s="72">
        <v>2447</v>
      </c>
      <c r="J4896" s="70">
        <v>0.99816176470588236</v>
      </c>
    </row>
    <row r="4897" spans="9:10" x14ac:dyDescent="0.3">
      <c r="I4897" s="72">
        <v>2447.5</v>
      </c>
      <c r="J4897" s="70">
        <v>0.99816176470588236</v>
      </c>
    </row>
    <row r="4898" spans="9:10" x14ac:dyDescent="0.3">
      <c r="I4898" s="72">
        <v>2448</v>
      </c>
      <c r="J4898" s="70">
        <v>0.99816176470588236</v>
      </c>
    </row>
    <row r="4899" spans="9:10" x14ac:dyDescent="0.3">
      <c r="I4899" s="72">
        <v>2448.5</v>
      </c>
      <c r="J4899" s="70">
        <v>0.99816176470588236</v>
      </c>
    </row>
    <row r="4900" spans="9:10" x14ac:dyDescent="0.3">
      <c r="I4900" s="72">
        <v>2449</v>
      </c>
      <c r="J4900" s="70">
        <v>0.99816176470588236</v>
      </c>
    </row>
    <row r="4901" spans="9:10" x14ac:dyDescent="0.3">
      <c r="I4901" s="72">
        <v>2449.5</v>
      </c>
      <c r="J4901" s="70">
        <v>0.99816176470588236</v>
      </c>
    </row>
    <row r="4902" spans="9:10" x14ac:dyDescent="0.3">
      <c r="I4902" s="72">
        <v>2450</v>
      </c>
      <c r="J4902" s="70">
        <v>0.99816176470588236</v>
      </c>
    </row>
    <row r="4903" spans="9:10" x14ac:dyDescent="0.3">
      <c r="I4903" s="72">
        <v>2450.5</v>
      </c>
      <c r="J4903" s="70">
        <v>0.99816176470588236</v>
      </c>
    </row>
    <row r="4904" spans="9:10" x14ac:dyDescent="0.3">
      <c r="I4904" s="72">
        <v>2451</v>
      </c>
      <c r="J4904" s="70">
        <v>0.99816176470588236</v>
      </c>
    </row>
    <row r="4905" spans="9:10" x14ac:dyDescent="0.3">
      <c r="I4905" s="72">
        <v>2451.5</v>
      </c>
      <c r="J4905" s="70">
        <v>0.99816176470588236</v>
      </c>
    </row>
    <row r="4906" spans="9:10" x14ac:dyDescent="0.3">
      <c r="I4906" s="72">
        <v>2452</v>
      </c>
      <c r="J4906" s="70">
        <v>0.99816176470588236</v>
      </c>
    </row>
    <row r="4907" spans="9:10" x14ac:dyDescent="0.3">
      <c r="I4907" s="72">
        <v>2452.5</v>
      </c>
      <c r="J4907" s="70">
        <v>0.99816176470588236</v>
      </c>
    </row>
    <row r="4908" spans="9:10" x14ac:dyDescent="0.3">
      <c r="I4908" s="72">
        <v>2453</v>
      </c>
      <c r="J4908" s="70">
        <v>0.99816176470588236</v>
      </c>
    </row>
    <row r="4909" spans="9:10" x14ac:dyDescent="0.3">
      <c r="I4909" s="72">
        <v>2453.5</v>
      </c>
      <c r="J4909" s="70">
        <v>0.99816176470588236</v>
      </c>
    </row>
    <row r="4910" spans="9:10" x14ac:dyDescent="0.3">
      <c r="I4910" s="72">
        <v>2454</v>
      </c>
      <c r="J4910" s="70">
        <v>0.99816176470588236</v>
      </c>
    </row>
    <row r="4911" spans="9:10" x14ac:dyDescent="0.3">
      <c r="I4911" s="72">
        <v>2454.5</v>
      </c>
      <c r="J4911" s="70">
        <v>0.99816176470588236</v>
      </c>
    </row>
    <row r="4912" spans="9:10" x14ac:dyDescent="0.3">
      <c r="I4912" s="72">
        <v>2455</v>
      </c>
      <c r="J4912" s="70">
        <v>0.99816176470588236</v>
      </c>
    </row>
    <row r="4913" spans="9:10" x14ac:dyDescent="0.3">
      <c r="I4913" s="72">
        <v>2455.5</v>
      </c>
      <c r="J4913" s="70">
        <v>0.99816176470588236</v>
      </c>
    </row>
    <row r="4914" spans="9:10" x14ac:dyDescent="0.3">
      <c r="I4914" s="72">
        <v>2456</v>
      </c>
      <c r="J4914" s="70">
        <v>0.99816176470588236</v>
      </c>
    </row>
    <row r="4915" spans="9:10" x14ac:dyDescent="0.3">
      <c r="I4915" s="72">
        <v>2456.5</v>
      </c>
      <c r="J4915" s="70">
        <v>0.99816176470588236</v>
      </c>
    </row>
    <row r="4916" spans="9:10" x14ac:dyDescent="0.3">
      <c r="I4916" s="72">
        <v>2457</v>
      </c>
      <c r="J4916" s="70">
        <v>0.99816176470588236</v>
      </c>
    </row>
    <row r="4917" spans="9:10" x14ac:dyDescent="0.3">
      <c r="I4917" s="72">
        <v>2457.5</v>
      </c>
      <c r="J4917" s="70">
        <v>0.99816176470588236</v>
      </c>
    </row>
    <row r="4918" spans="9:10" x14ac:dyDescent="0.3">
      <c r="I4918" s="72">
        <v>2458</v>
      </c>
      <c r="J4918" s="70">
        <v>0.99816176470588236</v>
      </c>
    </row>
    <row r="4919" spans="9:10" x14ac:dyDescent="0.3">
      <c r="I4919" s="72">
        <v>2458.5</v>
      </c>
      <c r="J4919" s="70">
        <v>0.99816176470588236</v>
      </c>
    </row>
    <row r="4920" spans="9:10" x14ac:dyDescent="0.3">
      <c r="I4920" s="72">
        <v>2459</v>
      </c>
      <c r="J4920" s="70">
        <v>0.99816176470588236</v>
      </c>
    </row>
    <row r="4921" spans="9:10" x14ac:dyDescent="0.3">
      <c r="I4921" s="72">
        <v>2459.5</v>
      </c>
      <c r="J4921" s="70">
        <v>0.99816176470588236</v>
      </c>
    </row>
    <row r="4922" spans="9:10" x14ac:dyDescent="0.3">
      <c r="I4922" s="72">
        <v>2460</v>
      </c>
      <c r="J4922" s="70">
        <v>0.99816176470588236</v>
      </c>
    </row>
    <row r="4923" spans="9:10" x14ac:dyDescent="0.3">
      <c r="I4923" s="72">
        <v>2460.5</v>
      </c>
      <c r="J4923" s="70">
        <v>0.99816176470588236</v>
      </c>
    </row>
    <row r="4924" spans="9:10" x14ac:dyDescent="0.3">
      <c r="I4924" s="72">
        <v>2461</v>
      </c>
      <c r="J4924" s="70">
        <v>0.99816176470588236</v>
      </c>
    </row>
    <row r="4925" spans="9:10" x14ac:dyDescent="0.3">
      <c r="I4925" s="72">
        <v>2461.5</v>
      </c>
      <c r="J4925" s="70">
        <v>0.99816176470588236</v>
      </c>
    </row>
    <row r="4926" spans="9:10" x14ac:dyDescent="0.3">
      <c r="I4926" s="72">
        <v>2462</v>
      </c>
      <c r="J4926" s="70">
        <v>0.99816176470588236</v>
      </c>
    </row>
    <row r="4927" spans="9:10" x14ac:dyDescent="0.3">
      <c r="I4927" s="72">
        <v>2462.5</v>
      </c>
      <c r="J4927" s="70">
        <v>0.99816176470588236</v>
      </c>
    </row>
    <row r="4928" spans="9:10" x14ac:dyDescent="0.3">
      <c r="I4928" s="72">
        <v>2463</v>
      </c>
      <c r="J4928" s="70">
        <v>0.99816176470588236</v>
      </c>
    </row>
    <row r="4929" spans="9:10" x14ac:dyDescent="0.3">
      <c r="I4929" s="72">
        <v>2463.5</v>
      </c>
      <c r="J4929" s="70">
        <v>0.99816176470588236</v>
      </c>
    </row>
    <row r="4930" spans="9:10" x14ac:dyDescent="0.3">
      <c r="I4930" s="72">
        <v>2464</v>
      </c>
      <c r="J4930" s="70">
        <v>0.99816176470588236</v>
      </c>
    </row>
    <row r="4931" spans="9:10" x14ac:dyDescent="0.3">
      <c r="I4931" s="72">
        <v>2464.5</v>
      </c>
      <c r="J4931" s="70">
        <v>0.99816176470588236</v>
      </c>
    </row>
    <row r="4932" spans="9:10" x14ac:dyDescent="0.3">
      <c r="I4932" s="72">
        <v>2465</v>
      </c>
      <c r="J4932" s="70">
        <v>0.99816176470588236</v>
      </c>
    </row>
    <row r="4933" spans="9:10" x14ac:dyDescent="0.3">
      <c r="I4933" s="72">
        <v>2465.5</v>
      </c>
      <c r="J4933" s="70">
        <v>0.99816176470588236</v>
      </c>
    </row>
    <row r="4934" spans="9:10" x14ac:dyDescent="0.3">
      <c r="I4934" s="72">
        <v>2466</v>
      </c>
      <c r="J4934" s="70">
        <v>0.99816176470588236</v>
      </c>
    </row>
    <row r="4935" spans="9:10" x14ac:dyDescent="0.3">
      <c r="I4935" s="72">
        <v>2466.5</v>
      </c>
      <c r="J4935" s="70">
        <v>0.99816176470588236</v>
      </c>
    </row>
    <row r="4936" spans="9:10" x14ac:dyDescent="0.3">
      <c r="I4936" s="72">
        <v>2467</v>
      </c>
      <c r="J4936" s="70">
        <v>0.99816176470588236</v>
      </c>
    </row>
    <row r="4937" spans="9:10" x14ac:dyDescent="0.3">
      <c r="I4937" s="72">
        <v>2467.5</v>
      </c>
      <c r="J4937" s="70">
        <v>0.99816176470588236</v>
      </c>
    </row>
    <row r="4938" spans="9:10" x14ac:dyDescent="0.3">
      <c r="I4938" s="72">
        <v>2468</v>
      </c>
      <c r="J4938" s="70">
        <v>0.99816176470588236</v>
      </c>
    </row>
    <row r="4939" spans="9:10" x14ac:dyDescent="0.3">
      <c r="I4939" s="72">
        <v>2468.5</v>
      </c>
      <c r="J4939" s="70">
        <v>0.99816176470588236</v>
      </c>
    </row>
    <row r="4940" spans="9:10" x14ac:dyDescent="0.3">
      <c r="I4940" s="72">
        <v>2469</v>
      </c>
      <c r="J4940" s="70">
        <v>0.99816176470588236</v>
      </c>
    </row>
    <row r="4941" spans="9:10" x14ac:dyDescent="0.3">
      <c r="I4941" s="72">
        <v>2469.5</v>
      </c>
      <c r="J4941" s="70">
        <v>0.99816176470588236</v>
      </c>
    </row>
    <row r="4942" spans="9:10" x14ac:dyDescent="0.3">
      <c r="I4942" s="72">
        <v>2470</v>
      </c>
      <c r="J4942" s="70">
        <v>0.99816176470588236</v>
      </c>
    </row>
    <row r="4943" spans="9:10" x14ac:dyDescent="0.3">
      <c r="I4943" s="72">
        <v>2470.5</v>
      </c>
      <c r="J4943" s="70">
        <v>0.99816176470588236</v>
      </c>
    </row>
    <row r="4944" spans="9:10" x14ac:dyDescent="0.3">
      <c r="I4944" s="72">
        <v>2471</v>
      </c>
      <c r="J4944" s="70">
        <v>0.99816176470588236</v>
      </c>
    </row>
    <row r="4945" spans="9:10" x14ac:dyDescent="0.3">
      <c r="I4945" s="72">
        <v>2471.5</v>
      </c>
      <c r="J4945" s="70">
        <v>0.99816176470588236</v>
      </c>
    </row>
    <row r="4946" spans="9:10" x14ac:dyDescent="0.3">
      <c r="I4946" s="72">
        <v>2472</v>
      </c>
      <c r="J4946" s="70">
        <v>0.99816176470588236</v>
      </c>
    </row>
    <row r="4947" spans="9:10" x14ac:dyDescent="0.3">
      <c r="I4947" s="72">
        <v>2472.5</v>
      </c>
      <c r="J4947" s="70">
        <v>0.99816176470588236</v>
      </c>
    </row>
    <row r="4948" spans="9:10" x14ac:dyDescent="0.3">
      <c r="I4948" s="72">
        <v>2473</v>
      </c>
      <c r="J4948" s="70">
        <v>0.99816176470588236</v>
      </c>
    </row>
    <row r="4949" spans="9:10" x14ac:dyDescent="0.3">
      <c r="I4949" s="72">
        <v>2473.5</v>
      </c>
      <c r="J4949" s="70">
        <v>0.99816176470588236</v>
      </c>
    </row>
    <row r="4950" spans="9:10" x14ac:dyDescent="0.3">
      <c r="I4950" s="72">
        <v>2474</v>
      </c>
      <c r="J4950" s="70">
        <v>0.99816176470588236</v>
      </c>
    </row>
    <row r="4951" spans="9:10" x14ac:dyDescent="0.3">
      <c r="I4951" s="72">
        <v>2474.5</v>
      </c>
      <c r="J4951" s="70">
        <v>0.99816176470588236</v>
      </c>
    </row>
    <row r="4952" spans="9:10" x14ac:dyDescent="0.3">
      <c r="I4952" s="72">
        <v>2475</v>
      </c>
      <c r="J4952" s="70">
        <v>0.99816176470588236</v>
      </c>
    </row>
    <row r="4953" spans="9:10" x14ac:dyDescent="0.3">
      <c r="I4953" s="72">
        <v>2475.5</v>
      </c>
      <c r="J4953" s="70">
        <v>0.99816176470588236</v>
      </c>
    </row>
    <row r="4954" spans="9:10" x14ac:dyDescent="0.3">
      <c r="I4954" s="72">
        <v>2476</v>
      </c>
      <c r="J4954" s="70">
        <v>0.99816176470588236</v>
      </c>
    </row>
    <row r="4955" spans="9:10" x14ac:dyDescent="0.3">
      <c r="I4955" s="72">
        <v>2476.5</v>
      </c>
      <c r="J4955" s="70">
        <v>0.99816176470588236</v>
      </c>
    </row>
    <row r="4956" spans="9:10" x14ac:dyDescent="0.3">
      <c r="I4956" s="72">
        <v>2477</v>
      </c>
      <c r="J4956" s="70">
        <v>0.99816176470588236</v>
      </c>
    </row>
    <row r="4957" spans="9:10" x14ac:dyDescent="0.3">
      <c r="I4957" s="72">
        <v>2477.5</v>
      </c>
      <c r="J4957" s="70">
        <v>0.99816176470588236</v>
      </c>
    </row>
    <row r="4958" spans="9:10" x14ac:dyDescent="0.3">
      <c r="I4958" s="72">
        <v>2478</v>
      </c>
      <c r="J4958" s="70">
        <v>0.99816176470588236</v>
      </c>
    </row>
    <row r="4959" spans="9:10" x14ac:dyDescent="0.3">
      <c r="I4959" s="72">
        <v>2478.5</v>
      </c>
      <c r="J4959" s="70">
        <v>0.99816176470588236</v>
      </c>
    </row>
    <row r="4960" spans="9:10" x14ac:dyDescent="0.3">
      <c r="I4960" s="72">
        <v>2479</v>
      </c>
      <c r="J4960" s="70">
        <v>0.99816176470588236</v>
      </c>
    </row>
    <row r="4961" spans="9:10" x14ac:dyDescent="0.3">
      <c r="I4961" s="72">
        <v>2479.5</v>
      </c>
      <c r="J4961" s="70">
        <v>0.99816176470588236</v>
      </c>
    </row>
    <row r="4962" spans="9:10" x14ac:dyDescent="0.3">
      <c r="I4962" s="72">
        <v>2480</v>
      </c>
      <c r="J4962" s="70">
        <v>0.99816176470588236</v>
      </c>
    </row>
    <row r="4963" spans="9:10" x14ac:dyDescent="0.3">
      <c r="I4963" s="72">
        <v>2480.5</v>
      </c>
      <c r="J4963" s="70">
        <v>0.99816176470588236</v>
      </c>
    </row>
    <row r="4964" spans="9:10" x14ac:dyDescent="0.3">
      <c r="I4964" s="72">
        <v>2481</v>
      </c>
      <c r="J4964" s="70">
        <v>0.99816176470588236</v>
      </c>
    </row>
    <row r="4965" spans="9:10" x14ac:dyDescent="0.3">
      <c r="I4965" s="72">
        <v>2481.5</v>
      </c>
      <c r="J4965" s="70">
        <v>0.99816176470588236</v>
      </c>
    </row>
    <row r="4966" spans="9:10" x14ac:dyDescent="0.3">
      <c r="I4966" s="72">
        <v>2482</v>
      </c>
      <c r="J4966" s="70">
        <v>0.99816176470588236</v>
      </c>
    </row>
    <row r="4967" spans="9:10" x14ac:dyDescent="0.3">
      <c r="I4967" s="72">
        <v>2482.5</v>
      </c>
      <c r="J4967" s="70">
        <v>0.99816176470588236</v>
      </c>
    </row>
    <row r="4968" spans="9:10" x14ac:dyDescent="0.3">
      <c r="I4968" s="72">
        <v>2483</v>
      </c>
      <c r="J4968" s="70">
        <v>0.99816176470588236</v>
      </c>
    </row>
    <row r="4969" spans="9:10" x14ac:dyDescent="0.3">
      <c r="I4969" s="72">
        <v>2483.5</v>
      </c>
      <c r="J4969" s="70">
        <v>0.99816176470588236</v>
      </c>
    </row>
    <row r="4970" spans="9:10" x14ac:dyDescent="0.3">
      <c r="I4970" s="72">
        <v>2484</v>
      </c>
      <c r="J4970" s="70">
        <v>0.99816176470588236</v>
      </c>
    </row>
    <row r="4971" spans="9:10" x14ac:dyDescent="0.3">
      <c r="I4971" s="72">
        <v>2484.5</v>
      </c>
      <c r="J4971" s="70">
        <v>0.99816176470588236</v>
      </c>
    </row>
    <row r="4972" spans="9:10" x14ac:dyDescent="0.3">
      <c r="I4972" s="72">
        <v>2485</v>
      </c>
      <c r="J4972" s="70">
        <v>0.99816176470588236</v>
      </c>
    </row>
    <row r="4973" spans="9:10" x14ac:dyDescent="0.3">
      <c r="I4973" s="72">
        <v>2485.5</v>
      </c>
      <c r="J4973" s="70">
        <v>0.99816176470588236</v>
      </c>
    </row>
    <row r="4974" spans="9:10" x14ac:dyDescent="0.3">
      <c r="I4974" s="72">
        <v>2486</v>
      </c>
      <c r="J4974" s="70">
        <v>0.99816176470588236</v>
      </c>
    </row>
    <row r="4975" spans="9:10" x14ac:dyDescent="0.3">
      <c r="I4975" s="72">
        <v>2486.5</v>
      </c>
      <c r="J4975" s="70">
        <v>0.99816176470588236</v>
      </c>
    </row>
    <row r="4976" spans="9:10" x14ac:dyDescent="0.3">
      <c r="I4976" s="72">
        <v>2487</v>
      </c>
      <c r="J4976" s="70">
        <v>0.99816176470588236</v>
      </c>
    </row>
    <row r="4977" spans="9:10" x14ac:dyDescent="0.3">
      <c r="I4977" s="72">
        <v>2487.5</v>
      </c>
      <c r="J4977" s="70">
        <v>0.99816176470588236</v>
      </c>
    </row>
    <row r="4978" spans="9:10" x14ac:dyDescent="0.3">
      <c r="I4978" s="72">
        <v>2488</v>
      </c>
      <c r="J4978" s="70">
        <v>0.99816176470588236</v>
      </c>
    </row>
    <row r="4979" spans="9:10" x14ac:dyDescent="0.3">
      <c r="I4979" s="72">
        <v>2488.5</v>
      </c>
      <c r="J4979" s="70">
        <v>0.99816176470588236</v>
      </c>
    </row>
    <row r="4980" spans="9:10" x14ac:dyDescent="0.3">
      <c r="I4980" s="72">
        <v>2489</v>
      </c>
      <c r="J4980" s="70">
        <v>0.99816176470588236</v>
      </c>
    </row>
    <row r="4981" spans="9:10" x14ac:dyDescent="0.3">
      <c r="I4981" s="72">
        <v>2489.5</v>
      </c>
      <c r="J4981" s="70">
        <v>0.99816176470588236</v>
      </c>
    </row>
    <row r="4982" spans="9:10" x14ac:dyDescent="0.3">
      <c r="I4982" s="72">
        <v>2490</v>
      </c>
      <c r="J4982" s="70">
        <v>0.99816176470588236</v>
      </c>
    </row>
    <row r="4983" spans="9:10" x14ac:dyDescent="0.3">
      <c r="I4983" s="72">
        <v>2490.5</v>
      </c>
      <c r="J4983" s="70">
        <v>0.99816176470588236</v>
      </c>
    </row>
    <row r="4984" spans="9:10" x14ac:dyDescent="0.3">
      <c r="I4984" s="72">
        <v>2491</v>
      </c>
      <c r="J4984" s="70">
        <v>0.99816176470588236</v>
      </c>
    </row>
    <row r="4985" spans="9:10" x14ac:dyDescent="0.3">
      <c r="I4985" s="72">
        <v>2491.5</v>
      </c>
      <c r="J4985" s="70">
        <v>0.99816176470588236</v>
      </c>
    </row>
    <row r="4986" spans="9:10" x14ac:dyDescent="0.3">
      <c r="I4986" s="72">
        <v>2492</v>
      </c>
      <c r="J4986" s="70">
        <v>0.99816176470588236</v>
      </c>
    </row>
    <row r="4987" spans="9:10" x14ac:dyDescent="0.3">
      <c r="I4987" s="72">
        <v>2492.5</v>
      </c>
      <c r="J4987" s="70">
        <v>0.99816176470588236</v>
      </c>
    </row>
    <row r="4988" spans="9:10" x14ac:dyDescent="0.3">
      <c r="I4988" s="72">
        <v>2493</v>
      </c>
      <c r="J4988" s="70">
        <v>0.99816176470588236</v>
      </c>
    </row>
    <row r="4989" spans="9:10" x14ac:dyDescent="0.3">
      <c r="I4989" s="72">
        <v>2493.5</v>
      </c>
      <c r="J4989" s="70">
        <v>0.99816176470588236</v>
      </c>
    </row>
    <row r="4990" spans="9:10" x14ac:dyDescent="0.3">
      <c r="I4990" s="72">
        <v>2494</v>
      </c>
      <c r="J4990" s="70">
        <v>0.99816176470588236</v>
      </c>
    </row>
    <row r="4991" spans="9:10" x14ac:dyDescent="0.3">
      <c r="I4991" s="72">
        <v>2494.5</v>
      </c>
      <c r="J4991" s="70">
        <v>0.99816176470588236</v>
      </c>
    </row>
    <row r="4992" spans="9:10" x14ac:dyDescent="0.3">
      <c r="I4992" s="72">
        <v>2495</v>
      </c>
      <c r="J4992" s="70">
        <v>0.99816176470588236</v>
      </c>
    </row>
    <row r="4993" spans="9:10" x14ac:dyDescent="0.3">
      <c r="I4993" s="72">
        <v>2495.5</v>
      </c>
      <c r="J4993" s="70">
        <v>0.99816176470588236</v>
      </c>
    </row>
    <row r="4994" spans="9:10" x14ac:dyDescent="0.3">
      <c r="I4994" s="72">
        <v>2496</v>
      </c>
      <c r="J4994" s="70">
        <v>0.99816176470588236</v>
      </c>
    </row>
    <row r="4995" spans="9:10" x14ac:dyDescent="0.3">
      <c r="I4995" s="72">
        <v>2496.5</v>
      </c>
      <c r="J4995" s="70">
        <v>0.99816176470588236</v>
      </c>
    </row>
    <row r="4996" spans="9:10" x14ac:dyDescent="0.3">
      <c r="I4996" s="72">
        <v>2497</v>
      </c>
      <c r="J4996" s="70">
        <v>0.99816176470588236</v>
      </c>
    </row>
    <row r="4997" spans="9:10" x14ac:dyDescent="0.3">
      <c r="I4997" s="72">
        <v>2497.5</v>
      </c>
      <c r="J4997" s="70">
        <v>0.99816176470588236</v>
      </c>
    </row>
    <row r="4998" spans="9:10" x14ac:dyDescent="0.3">
      <c r="I4998" s="72">
        <v>2498</v>
      </c>
      <c r="J4998" s="70">
        <v>0.99816176470588236</v>
      </c>
    </row>
    <row r="4999" spans="9:10" x14ac:dyDescent="0.3">
      <c r="I4999" s="72">
        <v>2498.5</v>
      </c>
      <c r="J4999" s="70">
        <v>0.99816176470588236</v>
      </c>
    </row>
    <row r="5000" spans="9:10" x14ac:dyDescent="0.3">
      <c r="I5000" s="72">
        <v>2499</v>
      </c>
      <c r="J5000" s="70">
        <v>0.99816176470588236</v>
      </c>
    </row>
    <row r="5001" spans="9:10" x14ac:dyDescent="0.3">
      <c r="I5001" s="72">
        <v>2499.5</v>
      </c>
      <c r="J5001" s="70">
        <v>0.99816176470588236</v>
      </c>
    </row>
    <row r="5002" spans="9:10" x14ac:dyDescent="0.3">
      <c r="I5002" s="72">
        <v>2500</v>
      </c>
      <c r="J5002" s="70">
        <v>0.99816176470588236</v>
      </c>
    </row>
    <row r="5003" spans="9:10" x14ac:dyDescent="0.3">
      <c r="I5003" s="72">
        <v>2500.5</v>
      </c>
      <c r="J5003" s="70">
        <v>0.99816176470588236</v>
      </c>
    </row>
    <row r="5004" spans="9:10" x14ac:dyDescent="0.3">
      <c r="I5004" s="72">
        <v>2501</v>
      </c>
      <c r="J5004" s="70">
        <v>0.99816176470588236</v>
      </c>
    </row>
    <row r="5005" spans="9:10" x14ac:dyDescent="0.3">
      <c r="I5005" s="72">
        <v>2501.5</v>
      </c>
      <c r="J5005" s="70">
        <v>0.99816176470588236</v>
      </c>
    </row>
    <row r="5006" spans="9:10" x14ac:dyDescent="0.3">
      <c r="I5006" s="72">
        <v>2502</v>
      </c>
      <c r="J5006" s="70">
        <v>0.99816176470588236</v>
      </c>
    </row>
    <row r="5007" spans="9:10" x14ac:dyDescent="0.3">
      <c r="I5007" s="72">
        <v>2502.5</v>
      </c>
      <c r="J5007" s="70">
        <v>0.99816176470588236</v>
      </c>
    </row>
    <row r="5008" spans="9:10" x14ac:dyDescent="0.3">
      <c r="I5008" s="72">
        <v>2503</v>
      </c>
      <c r="J5008" s="70">
        <v>0.99816176470588236</v>
      </c>
    </row>
    <row r="5009" spans="9:10" x14ac:dyDescent="0.3">
      <c r="I5009" s="72">
        <v>2503.5</v>
      </c>
      <c r="J5009" s="70">
        <v>0.99816176470588236</v>
      </c>
    </row>
    <row r="5010" spans="9:10" x14ac:dyDescent="0.3">
      <c r="I5010" s="72">
        <v>2504</v>
      </c>
      <c r="J5010" s="70">
        <v>0.99816176470588236</v>
      </c>
    </row>
    <row r="5011" spans="9:10" x14ac:dyDescent="0.3">
      <c r="I5011" s="72">
        <v>2504.5</v>
      </c>
      <c r="J5011" s="70">
        <v>0.99816176470588236</v>
      </c>
    </row>
    <row r="5012" spans="9:10" x14ac:dyDescent="0.3">
      <c r="I5012" s="72">
        <v>2505</v>
      </c>
      <c r="J5012" s="70">
        <v>0.99816176470588236</v>
      </c>
    </row>
    <row r="5013" spans="9:10" x14ac:dyDescent="0.3">
      <c r="I5013" s="72">
        <v>2505.5</v>
      </c>
      <c r="J5013" s="70">
        <v>0.99816176470588236</v>
      </c>
    </row>
    <row r="5014" spans="9:10" x14ac:dyDescent="0.3">
      <c r="I5014" s="72">
        <v>2506</v>
      </c>
      <c r="J5014" s="70">
        <v>0.99816176470588236</v>
      </c>
    </row>
    <row r="5015" spans="9:10" x14ac:dyDescent="0.3">
      <c r="I5015" s="72">
        <v>2506.5</v>
      </c>
      <c r="J5015" s="70">
        <v>0.99816176470588236</v>
      </c>
    </row>
    <row r="5016" spans="9:10" x14ac:dyDescent="0.3">
      <c r="I5016" s="72">
        <v>2507</v>
      </c>
      <c r="J5016" s="70">
        <v>0.99816176470588236</v>
      </c>
    </row>
    <row r="5017" spans="9:10" x14ac:dyDescent="0.3">
      <c r="I5017" s="72">
        <v>2507.5</v>
      </c>
      <c r="J5017" s="70">
        <v>0.99816176470588236</v>
      </c>
    </row>
    <row r="5018" spans="9:10" x14ac:dyDescent="0.3">
      <c r="I5018" s="72">
        <v>2508</v>
      </c>
      <c r="J5018" s="70">
        <v>0.99816176470588236</v>
      </c>
    </row>
    <row r="5019" spans="9:10" x14ac:dyDescent="0.3">
      <c r="I5019" s="72">
        <v>2508.5</v>
      </c>
      <c r="J5019" s="70">
        <v>0.99816176470588236</v>
      </c>
    </row>
    <row r="5020" spans="9:10" x14ac:dyDescent="0.3">
      <c r="I5020" s="72">
        <v>2509</v>
      </c>
      <c r="J5020" s="70">
        <v>0.99816176470588236</v>
      </c>
    </row>
    <row r="5021" spans="9:10" x14ac:dyDescent="0.3">
      <c r="I5021" s="72">
        <v>2509.5</v>
      </c>
      <c r="J5021" s="70">
        <v>0.99816176470588236</v>
      </c>
    </row>
    <row r="5022" spans="9:10" x14ac:dyDescent="0.3">
      <c r="I5022" s="72">
        <v>2510</v>
      </c>
      <c r="J5022" s="70">
        <v>0.99816176470588236</v>
      </c>
    </row>
    <row r="5023" spans="9:10" x14ac:dyDescent="0.3">
      <c r="I5023" s="72">
        <v>2510.5</v>
      </c>
      <c r="J5023" s="70">
        <v>0.99816176470588236</v>
      </c>
    </row>
    <row r="5024" spans="9:10" x14ac:dyDescent="0.3">
      <c r="I5024" s="72">
        <v>2511</v>
      </c>
      <c r="J5024" s="70">
        <v>0.99816176470588236</v>
      </c>
    </row>
    <row r="5025" spans="9:10" x14ac:dyDescent="0.3">
      <c r="I5025" s="72">
        <v>2511.5</v>
      </c>
      <c r="J5025" s="70">
        <v>0.99816176470588236</v>
      </c>
    </row>
    <row r="5026" spans="9:10" x14ac:dyDescent="0.3">
      <c r="I5026" s="72">
        <v>2512</v>
      </c>
      <c r="J5026" s="70">
        <v>0.99816176470588236</v>
      </c>
    </row>
    <row r="5027" spans="9:10" x14ac:dyDescent="0.3">
      <c r="I5027" s="72">
        <v>2512.5</v>
      </c>
      <c r="J5027" s="70">
        <v>0.99816176470588236</v>
      </c>
    </row>
    <row r="5028" spans="9:10" x14ac:dyDescent="0.3">
      <c r="I5028" s="72">
        <v>2513</v>
      </c>
      <c r="J5028" s="70">
        <v>0.99816176470588236</v>
      </c>
    </row>
    <row r="5029" spans="9:10" x14ac:dyDescent="0.3">
      <c r="I5029" s="72">
        <v>2513.5</v>
      </c>
      <c r="J5029" s="70">
        <v>0.99816176470588236</v>
      </c>
    </row>
    <row r="5030" spans="9:10" x14ac:dyDescent="0.3">
      <c r="I5030" s="72">
        <v>2514</v>
      </c>
      <c r="J5030" s="70">
        <v>0.99816176470588236</v>
      </c>
    </row>
    <row r="5031" spans="9:10" x14ac:dyDescent="0.3">
      <c r="I5031" s="72">
        <v>2514.5</v>
      </c>
      <c r="J5031" s="70">
        <v>0.99816176470588236</v>
      </c>
    </row>
    <row r="5032" spans="9:10" x14ac:dyDescent="0.3">
      <c r="I5032" s="72">
        <v>2515</v>
      </c>
      <c r="J5032" s="70">
        <v>0.99816176470588236</v>
      </c>
    </row>
    <row r="5033" spans="9:10" x14ac:dyDescent="0.3">
      <c r="I5033" s="72">
        <v>2515.5</v>
      </c>
      <c r="J5033" s="70">
        <v>0.99816176470588236</v>
      </c>
    </row>
    <row r="5034" spans="9:10" x14ac:dyDescent="0.3">
      <c r="I5034" s="72">
        <v>2516</v>
      </c>
      <c r="J5034" s="70">
        <v>0.99816176470588236</v>
      </c>
    </row>
    <row r="5035" spans="9:10" x14ac:dyDescent="0.3">
      <c r="I5035" s="72">
        <v>2516.5</v>
      </c>
      <c r="J5035" s="70">
        <v>0.99816176470588236</v>
      </c>
    </row>
    <row r="5036" spans="9:10" x14ac:dyDescent="0.3">
      <c r="I5036" s="72">
        <v>2517</v>
      </c>
      <c r="J5036" s="70">
        <v>0.99816176470588236</v>
      </c>
    </row>
    <row r="5037" spans="9:10" x14ac:dyDescent="0.3">
      <c r="I5037" s="72">
        <v>2517.5</v>
      </c>
      <c r="J5037" s="70">
        <v>0.99816176470588236</v>
      </c>
    </row>
    <row r="5038" spans="9:10" x14ac:dyDescent="0.3">
      <c r="I5038" s="72">
        <v>2518</v>
      </c>
      <c r="J5038" s="70">
        <v>0.99816176470588236</v>
      </c>
    </row>
    <row r="5039" spans="9:10" x14ac:dyDescent="0.3">
      <c r="I5039" s="72">
        <v>2518.5</v>
      </c>
      <c r="J5039" s="70">
        <v>0.99816176470588236</v>
      </c>
    </row>
    <row r="5040" spans="9:10" x14ac:dyDescent="0.3">
      <c r="I5040" s="72">
        <v>2519</v>
      </c>
      <c r="J5040" s="70">
        <v>0.99816176470588236</v>
      </c>
    </row>
    <row r="5041" spans="9:10" x14ac:dyDescent="0.3">
      <c r="I5041" s="72">
        <v>2519.5</v>
      </c>
      <c r="J5041" s="70">
        <v>0.99816176470588236</v>
      </c>
    </row>
    <row r="5042" spans="9:10" x14ac:dyDescent="0.3">
      <c r="I5042" s="72">
        <v>2520</v>
      </c>
      <c r="J5042" s="70">
        <v>0.99816176470588236</v>
      </c>
    </row>
    <row r="5043" spans="9:10" x14ac:dyDescent="0.3">
      <c r="I5043" s="72">
        <v>2520.5</v>
      </c>
      <c r="J5043" s="70">
        <v>0.99816176470588236</v>
      </c>
    </row>
    <row r="5044" spans="9:10" x14ac:dyDescent="0.3">
      <c r="I5044" s="72">
        <v>2521</v>
      </c>
      <c r="J5044" s="70">
        <v>0.99816176470588236</v>
      </c>
    </row>
    <row r="5045" spans="9:10" x14ac:dyDescent="0.3">
      <c r="I5045" s="72">
        <v>2521.5</v>
      </c>
      <c r="J5045" s="70">
        <v>0.99816176470588236</v>
      </c>
    </row>
    <row r="5046" spans="9:10" x14ac:dyDescent="0.3">
      <c r="I5046" s="72">
        <v>2522</v>
      </c>
      <c r="J5046" s="70">
        <v>0.99816176470588236</v>
      </c>
    </row>
    <row r="5047" spans="9:10" x14ac:dyDescent="0.3">
      <c r="I5047" s="72">
        <v>2522.5</v>
      </c>
      <c r="J5047" s="70">
        <v>0.99816176470588236</v>
      </c>
    </row>
    <row r="5048" spans="9:10" x14ac:dyDescent="0.3">
      <c r="I5048" s="72">
        <v>2523</v>
      </c>
      <c r="J5048" s="70">
        <v>0.99816176470588236</v>
      </c>
    </row>
    <row r="5049" spans="9:10" x14ac:dyDescent="0.3">
      <c r="I5049" s="72">
        <v>2523.5</v>
      </c>
      <c r="J5049" s="70">
        <v>0.99816176470588236</v>
      </c>
    </row>
    <row r="5050" spans="9:10" x14ac:dyDescent="0.3">
      <c r="I5050" s="72">
        <v>2524</v>
      </c>
      <c r="J5050" s="70">
        <v>0.99816176470588236</v>
      </c>
    </row>
    <row r="5051" spans="9:10" x14ac:dyDescent="0.3">
      <c r="I5051" s="72">
        <v>2524.5</v>
      </c>
      <c r="J5051" s="70">
        <v>0.99816176470588236</v>
      </c>
    </row>
    <row r="5052" spans="9:10" x14ac:dyDescent="0.3">
      <c r="I5052" s="72">
        <v>2525</v>
      </c>
      <c r="J5052" s="70">
        <v>0.99816176470588236</v>
      </c>
    </row>
    <row r="5053" spans="9:10" x14ac:dyDescent="0.3">
      <c r="I5053" s="72">
        <v>2525.5</v>
      </c>
      <c r="J5053" s="70">
        <v>0.99816176470588236</v>
      </c>
    </row>
    <row r="5054" spans="9:10" x14ac:dyDescent="0.3">
      <c r="I5054" s="72">
        <v>2526</v>
      </c>
      <c r="J5054" s="70">
        <v>0.99816176470588236</v>
      </c>
    </row>
    <row r="5055" spans="9:10" x14ac:dyDescent="0.3">
      <c r="I5055" s="72">
        <v>2526.5</v>
      </c>
      <c r="J5055" s="70">
        <v>0.99816176470588236</v>
      </c>
    </row>
    <row r="5056" spans="9:10" x14ac:dyDescent="0.3">
      <c r="I5056" s="72">
        <v>2527</v>
      </c>
      <c r="J5056" s="70">
        <v>0.99816176470588236</v>
      </c>
    </row>
    <row r="5057" spans="9:10" x14ac:dyDescent="0.3">
      <c r="I5057" s="72">
        <v>2527.5</v>
      </c>
      <c r="J5057" s="70">
        <v>0.99816176470588236</v>
      </c>
    </row>
    <row r="5058" spans="9:10" x14ac:dyDescent="0.3">
      <c r="I5058" s="72">
        <v>2528</v>
      </c>
      <c r="J5058" s="70">
        <v>0.99816176470588236</v>
      </c>
    </row>
    <row r="5059" spans="9:10" x14ac:dyDescent="0.3">
      <c r="I5059" s="72">
        <v>2528.5</v>
      </c>
      <c r="J5059" s="70">
        <v>0.99816176470588236</v>
      </c>
    </row>
    <row r="5060" spans="9:10" x14ac:dyDescent="0.3">
      <c r="I5060" s="72">
        <v>2529</v>
      </c>
      <c r="J5060" s="70">
        <v>0.99816176470588236</v>
      </c>
    </row>
    <row r="5061" spans="9:10" x14ac:dyDescent="0.3">
      <c r="I5061" s="72">
        <v>2529.5</v>
      </c>
      <c r="J5061" s="70">
        <v>0.99816176470588236</v>
      </c>
    </row>
    <row r="5062" spans="9:10" x14ac:dyDescent="0.3">
      <c r="I5062" s="72">
        <v>2530</v>
      </c>
      <c r="J5062" s="70">
        <v>0.99816176470588236</v>
      </c>
    </row>
    <row r="5063" spans="9:10" x14ac:dyDescent="0.3">
      <c r="I5063" s="72">
        <v>2530.5</v>
      </c>
      <c r="J5063" s="70">
        <v>0.99816176470588236</v>
      </c>
    </row>
    <row r="5064" spans="9:10" x14ac:dyDescent="0.3">
      <c r="I5064" s="72">
        <v>2531</v>
      </c>
      <c r="J5064" s="70">
        <v>0.99816176470588236</v>
      </c>
    </row>
    <row r="5065" spans="9:10" x14ac:dyDescent="0.3">
      <c r="I5065" s="72">
        <v>2531.5</v>
      </c>
      <c r="J5065" s="70">
        <v>0.99816176470588236</v>
      </c>
    </row>
    <row r="5066" spans="9:10" x14ac:dyDescent="0.3">
      <c r="I5066" s="72">
        <v>2532</v>
      </c>
      <c r="J5066" s="70">
        <v>0.99816176470588236</v>
      </c>
    </row>
    <row r="5067" spans="9:10" x14ac:dyDescent="0.3">
      <c r="I5067" s="72">
        <v>2532.5</v>
      </c>
      <c r="J5067" s="70">
        <v>0.99816176470588236</v>
      </c>
    </row>
    <row r="5068" spans="9:10" x14ac:dyDescent="0.3">
      <c r="I5068" s="72">
        <v>2533</v>
      </c>
      <c r="J5068" s="70">
        <v>0.99816176470588236</v>
      </c>
    </row>
    <row r="5069" spans="9:10" x14ac:dyDescent="0.3">
      <c r="I5069" s="72">
        <v>2533.5</v>
      </c>
      <c r="J5069" s="70">
        <v>0.99816176470588236</v>
      </c>
    </row>
    <row r="5070" spans="9:10" x14ac:dyDescent="0.3">
      <c r="I5070" s="72">
        <v>2534</v>
      </c>
      <c r="J5070" s="70">
        <v>0.99816176470588236</v>
      </c>
    </row>
    <row r="5071" spans="9:10" x14ac:dyDescent="0.3">
      <c r="I5071" s="72">
        <v>2534.5</v>
      </c>
      <c r="J5071" s="70">
        <v>0.99816176470588236</v>
      </c>
    </row>
    <row r="5072" spans="9:10" x14ac:dyDescent="0.3">
      <c r="I5072" s="72">
        <v>2535</v>
      </c>
      <c r="J5072" s="70">
        <v>0.99816176470588236</v>
      </c>
    </row>
    <row r="5073" spans="9:10" x14ac:dyDescent="0.3">
      <c r="I5073" s="72">
        <v>2535.5</v>
      </c>
      <c r="J5073" s="70">
        <v>0.99816176470588236</v>
      </c>
    </row>
    <row r="5074" spans="9:10" x14ac:dyDescent="0.3">
      <c r="I5074" s="72">
        <v>2536</v>
      </c>
      <c r="J5074" s="70">
        <v>0.99816176470588236</v>
      </c>
    </row>
    <row r="5075" spans="9:10" x14ac:dyDescent="0.3">
      <c r="I5075" s="72">
        <v>2536.5</v>
      </c>
      <c r="J5075" s="70">
        <v>0.99816176470588236</v>
      </c>
    </row>
    <row r="5076" spans="9:10" x14ac:dyDescent="0.3">
      <c r="I5076" s="72">
        <v>2537</v>
      </c>
      <c r="J5076" s="70">
        <v>0.99816176470588236</v>
      </c>
    </row>
    <row r="5077" spans="9:10" x14ac:dyDescent="0.3">
      <c r="I5077" s="72">
        <v>2537.5</v>
      </c>
      <c r="J5077" s="70">
        <v>0.99816176470588236</v>
      </c>
    </row>
    <row r="5078" spans="9:10" x14ac:dyDescent="0.3">
      <c r="I5078" s="72">
        <v>2538</v>
      </c>
      <c r="J5078" s="70">
        <v>0.99816176470588236</v>
      </c>
    </row>
    <row r="5079" spans="9:10" x14ac:dyDescent="0.3">
      <c r="I5079" s="72">
        <v>2538.5</v>
      </c>
      <c r="J5079" s="70">
        <v>0.99816176470588236</v>
      </c>
    </row>
    <row r="5080" spans="9:10" x14ac:dyDescent="0.3">
      <c r="I5080" s="72">
        <v>2539</v>
      </c>
      <c r="J5080" s="70">
        <v>0.99816176470588236</v>
      </c>
    </row>
    <row r="5081" spans="9:10" x14ac:dyDescent="0.3">
      <c r="I5081" s="72">
        <v>2539.5</v>
      </c>
      <c r="J5081" s="70">
        <v>0.99816176470588236</v>
      </c>
    </row>
    <row r="5082" spans="9:10" x14ac:dyDescent="0.3">
      <c r="I5082" s="72">
        <v>2540</v>
      </c>
      <c r="J5082" s="70">
        <v>0.99816176470588236</v>
      </c>
    </row>
    <row r="5083" spans="9:10" x14ac:dyDescent="0.3">
      <c r="I5083" s="72">
        <v>2540.5</v>
      </c>
      <c r="J5083" s="70">
        <v>0.99816176470588236</v>
      </c>
    </row>
    <row r="5084" spans="9:10" x14ac:dyDescent="0.3">
      <c r="I5084" s="72">
        <v>2541</v>
      </c>
      <c r="J5084" s="70">
        <v>0.99816176470588236</v>
      </c>
    </row>
    <row r="5085" spans="9:10" x14ac:dyDescent="0.3">
      <c r="I5085" s="72">
        <v>2541.5</v>
      </c>
      <c r="J5085" s="70">
        <v>0.99816176470588236</v>
      </c>
    </row>
    <row r="5086" spans="9:10" x14ac:dyDescent="0.3">
      <c r="I5086" s="72">
        <v>2542</v>
      </c>
      <c r="J5086" s="70">
        <v>0.99816176470588236</v>
      </c>
    </row>
    <row r="5087" spans="9:10" x14ac:dyDescent="0.3">
      <c r="I5087" s="72">
        <v>2542.5</v>
      </c>
      <c r="J5087" s="70">
        <v>0.99816176470588236</v>
      </c>
    </row>
    <row r="5088" spans="9:10" x14ac:dyDescent="0.3">
      <c r="I5088" s="72">
        <v>2543</v>
      </c>
      <c r="J5088" s="70">
        <v>0.99816176470588236</v>
      </c>
    </row>
    <row r="5089" spans="9:10" x14ac:dyDescent="0.3">
      <c r="I5089" s="72">
        <v>2543.5</v>
      </c>
      <c r="J5089" s="70">
        <v>0.99816176470588236</v>
      </c>
    </row>
    <row r="5090" spans="9:10" x14ac:dyDescent="0.3">
      <c r="I5090" s="72">
        <v>2544</v>
      </c>
      <c r="J5090" s="70">
        <v>0.99816176470588236</v>
      </c>
    </row>
    <row r="5091" spans="9:10" x14ac:dyDescent="0.3">
      <c r="I5091" s="72">
        <v>2544.5</v>
      </c>
      <c r="J5091" s="70">
        <v>0.99816176470588236</v>
      </c>
    </row>
    <row r="5092" spans="9:10" x14ac:dyDescent="0.3">
      <c r="I5092" s="72">
        <v>2545</v>
      </c>
      <c r="J5092" s="70">
        <v>0.99816176470588236</v>
      </c>
    </row>
    <row r="5093" spans="9:10" x14ac:dyDescent="0.3">
      <c r="I5093" s="72">
        <v>2545.5</v>
      </c>
      <c r="J5093" s="70">
        <v>0.99816176470588236</v>
      </c>
    </row>
    <row r="5094" spans="9:10" x14ac:dyDescent="0.3">
      <c r="I5094" s="72">
        <v>2546</v>
      </c>
      <c r="J5094" s="70">
        <v>0.99816176470588236</v>
      </c>
    </row>
    <row r="5095" spans="9:10" x14ac:dyDescent="0.3">
      <c r="I5095" s="72">
        <v>2546.5</v>
      </c>
      <c r="J5095" s="70">
        <v>0.99816176470588236</v>
      </c>
    </row>
    <row r="5096" spans="9:10" x14ac:dyDescent="0.3">
      <c r="I5096" s="72">
        <v>2547</v>
      </c>
      <c r="J5096" s="70">
        <v>0.99816176470588236</v>
      </c>
    </row>
    <row r="5097" spans="9:10" x14ac:dyDescent="0.3">
      <c r="I5097" s="72">
        <v>2547.5</v>
      </c>
      <c r="J5097" s="70">
        <v>0.99816176470588236</v>
      </c>
    </row>
    <row r="5098" spans="9:10" x14ac:dyDescent="0.3">
      <c r="I5098" s="72">
        <v>2548</v>
      </c>
      <c r="J5098" s="70">
        <v>0.99816176470588236</v>
      </c>
    </row>
    <row r="5099" spans="9:10" x14ac:dyDescent="0.3">
      <c r="I5099" s="72">
        <v>2548.5</v>
      </c>
      <c r="J5099" s="70">
        <v>0.99816176470588236</v>
      </c>
    </row>
    <row r="5100" spans="9:10" x14ac:dyDescent="0.3">
      <c r="I5100" s="72">
        <v>2549</v>
      </c>
      <c r="J5100" s="70">
        <v>0.99816176470588236</v>
      </c>
    </row>
    <row r="5101" spans="9:10" x14ac:dyDescent="0.3">
      <c r="I5101" s="72">
        <v>2549.5</v>
      </c>
      <c r="J5101" s="70">
        <v>0.99816176470588236</v>
      </c>
    </row>
    <row r="5102" spans="9:10" x14ac:dyDescent="0.3">
      <c r="I5102" s="72">
        <v>2550</v>
      </c>
      <c r="J5102" s="70">
        <v>0.99816176470588236</v>
      </c>
    </row>
    <row r="5103" spans="9:10" x14ac:dyDescent="0.3">
      <c r="I5103" s="72">
        <v>2550.5</v>
      </c>
      <c r="J5103" s="70">
        <v>0.99816176470588236</v>
      </c>
    </row>
    <row r="5104" spans="9:10" x14ac:dyDescent="0.3">
      <c r="I5104" s="72">
        <v>2551</v>
      </c>
      <c r="J5104" s="70">
        <v>0.99816176470588236</v>
      </c>
    </row>
    <row r="5105" spans="9:10" x14ac:dyDescent="0.3">
      <c r="I5105" s="72">
        <v>2551.5</v>
      </c>
      <c r="J5105" s="70">
        <v>0.99816176470588236</v>
      </c>
    </row>
    <row r="5106" spans="9:10" x14ac:dyDescent="0.3">
      <c r="I5106" s="72">
        <v>2552</v>
      </c>
      <c r="J5106" s="70">
        <v>0.99816176470588236</v>
      </c>
    </row>
    <row r="5107" spans="9:10" x14ac:dyDescent="0.3">
      <c r="I5107" s="72">
        <v>2552.5</v>
      </c>
      <c r="J5107" s="70">
        <v>0.99816176470588236</v>
      </c>
    </row>
    <row r="5108" spans="9:10" x14ac:dyDescent="0.3">
      <c r="I5108" s="72">
        <v>2553</v>
      </c>
      <c r="J5108" s="70">
        <v>0.99816176470588236</v>
      </c>
    </row>
    <row r="5109" spans="9:10" x14ac:dyDescent="0.3">
      <c r="I5109" s="72">
        <v>2553.5</v>
      </c>
      <c r="J5109" s="70">
        <v>0.99816176470588236</v>
      </c>
    </row>
    <row r="5110" spans="9:10" x14ac:dyDescent="0.3">
      <c r="I5110" s="72">
        <v>2554</v>
      </c>
      <c r="J5110" s="70">
        <v>0.99816176470588236</v>
      </c>
    </row>
    <row r="5111" spans="9:10" x14ac:dyDescent="0.3">
      <c r="I5111" s="72">
        <v>2554.5</v>
      </c>
      <c r="J5111" s="70">
        <v>0.99816176470588236</v>
      </c>
    </row>
    <row r="5112" spans="9:10" x14ac:dyDescent="0.3">
      <c r="I5112" s="72">
        <v>2555</v>
      </c>
      <c r="J5112" s="70">
        <v>0.99816176470588236</v>
      </c>
    </row>
    <row r="5113" spans="9:10" x14ac:dyDescent="0.3">
      <c r="I5113" s="72">
        <v>2555.5</v>
      </c>
      <c r="J5113" s="70">
        <v>0.99816176470588236</v>
      </c>
    </row>
    <row r="5114" spans="9:10" x14ac:dyDescent="0.3">
      <c r="I5114" s="72">
        <v>2556</v>
      </c>
      <c r="J5114" s="70">
        <v>0.99816176470588236</v>
      </c>
    </row>
    <row r="5115" spans="9:10" x14ac:dyDescent="0.3">
      <c r="I5115" s="72">
        <v>2556.5</v>
      </c>
      <c r="J5115" s="70">
        <v>0.99816176470588236</v>
      </c>
    </row>
    <row r="5116" spans="9:10" x14ac:dyDescent="0.3">
      <c r="I5116" s="72">
        <v>2557</v>
      </c>
      <c r="J5116" s="70">
        <v>0.99816176470588236</v>
      </c>
    </row>
    <row r="5117" spans="9:10" x14ac:dyDescent="0.3">
      <c r="I5117" s="72">
        <v>2557.5</v>
      </c>
      <c r="J5117" s="70">
        <v>0.99816176470588236</v>
      </c>
    </row>
    <row r="5118" spans="9:10" x14ac:dyDescent="0.3">
      <c r="I5118" s="72">
        <v>2558</v>
      </c>
      <c r="J5118" s="70">
        <v>0.99816176470588236</v>
      </c>
    </row>
    <row r="5119" spans="9:10" x14ac:dyDescent="0.3">
      <c r="I5119" s="72">
        <v>2558.5</v>
      </c>
      <c r="J5119" s="70">
        <v>0.99816176470588236</v>
      </c>
    </row>
    <row r="5120" spans="9:10" x14ac:dyDescent="0.3">
      <c r="I5120" s="72">
        <v>2559</v>
      </c>
      <c r="J5120" s="70">
        <v>0.99816176470588236</v>
      </c>
    </row>
    <row r="5121" spans="9:10" x14ac:dyDescent="0.3">
      <c r="I5121" s="72">
        <v>2559.5</v>
      </c>
      <c r="J5121" s="70">
        <v>0.99816176470588236</v>
      </c>
    </row>
    <row r="5122" spans="9:10" x14ac:dyDescent="0.3">
      <c r="I5122" s="72">
        <v>2560</v>
      </c>
      <c r="J5122" s="70">
        <v>0.99816176470588236</v>
      </c>
    </row>
    <row r="5123" spans="9:10" x14ac:dyDescent="0.3">
      <c r="I5123" s="72">
        <v>2560.5</v>
      </c>
      <c r="J5123" s="70">
        <v>0.99816176470588236</v>
      </c>
    </row>
    <row r="5124" spans="9:10" x14ac:dyDescent="0.3">
      <c r="I5124" s="72">
        <v>2561</v>
      </c>
      <c r="J5124" s="70">
        <v>0.99816176470588236</v>
      </c>
    </row>
    <row r="5125" spans="9:10" x14ac:dyDescent="0.3">
      <c r="I5125" s="72">
        <v>2561.5</v>
      </c>
      <c r="J5125" s="70">
        <v>0.99816176470588236</v>
      </c>
    </row>
    <row r="5126" spans="9:10" x14ac:dyDescent="0.3">
      <c r="I5126" s="72">
        <v>2562</v>
      </c>
      <c r="J5126" s="70">
        <v>0.99816176470588236</v>
      </c>
    </row>
    <row r="5127" spans="9:10" x14ac:dyDescent="0.3">
      <c r="I5127" s="72">
        <v>2562.5</v>
      </c>
      <c r="J5127" s="70">
        <v>0.99816176470588236</v>
      </c>
    </row>
    <row r="5128" spans="9:10" x14ac:dyDescent="0.3">
      <c r="I5128" s="72">
        <v>2563</v>
      </c>
      <c r="J5128" s="70">
        <v>0.99816176470588236</v>
      </c>
    </row>
    <row r="5129" spans="9:10" x14ac:dyDescent="0.3">
      <c r="I5129" s="72">
        <v>2563.5</v>
      </c>
      <c r="J5129" s="70">
        <v>0.99816176470588236</v>
      </c>
    </row>
    <row r="5130" spans="9:10" x14ac:dyDescent="0.3">
      <c r="I5130" s="72">
        <v>2564</v>
      </c>
      <c r="J5130" s="70">
        <v>0.99816176470588236</v>
      </c>
    </row>
    <row r="5131" spans="9:10" x14ac:dyDescent="0.3">
      <c r="I5131" s="72">
        <v>2564.5</v>
      </c>
      <c r="J5131" s="70">
        <v>0.99816176470588236</v>
      </c>
    </row>
    <row r="5132" spans="9:10" x14ac:dyDescent="0.3">
      <c r="I5132" s="72">
        <v>2565</v>
      </c>
      <c r="J5132" s="70">
        <v>0.99816176470588236</v>
      </c>
    </row>
    <row r="5133" spans="9:10" x14ac:dyDescent="0.3">
      <c r="I5133" s="72">
        <v>2565.5</v>
      </c>
      <c r="J5133" s="70">
        <v>0.99816176470588236</v>
      </c>
    </row>
    <row r="5134" spans="9:10" x14ac:dyDescent="0.3">
      <c r="I5134" s="72">
        <v>2566</v>
      </c>
      <c r="J5134" s="70">
        <v>0.99816176470588236</v>
      </c>
    </row>
    <row r="5135" spans="9:10" x14ac:dyDescent="0.3">
      <c r="I5135" s="72">
        <v>2566.5</v>
      </c>
      <c r="J5135" s="70">
        <v>0.99816176470588236</v>
      </c>
    </row>
    <row r="5136" spans="9:10" x14ac:dyDescent="0.3">
      <c r="I5136" s="72">
        <v>2567</v>
      </c>
      <c r="J5136" s="70">
        <v>0.99816176470588236</v>
      </c>
    </row>
    <row r="5137" spans="9:10" x14ac:dyDescent="0.3">
      <c r="I5137" s="72">
        <v>2567.5</v>
      </c>
      <c r="J5137" s="70">
        <v>0.99816176470588236</v>
      </c>
    </row>
    <row r="5138" spans="9:10" x14ac:dyDescent="0.3">
      <c r="I5138" s="72">
        <v>2568</v>
      </c>
      <c r="J5138" s="70">
        <v>0.99816176470588236</v>
      </c>
    </row>
    <row r="5139" spans="9:10" x14ac:dyDescent="0.3">
      <c r="I5139" s="72">
        <v>2568.5</v>
      </c>
      <c r="J5139" s="70">
        <v>0.99816176470588236</v>
      </c>
    </row>
    <row r="5140" spans="9:10" x14ac:dyDescent="0.3">
      <c r="I5140" s="72">
        <v>2569</v>
      </c>
      <c r="J5140" s="70">
        <v>0.99816176470588236</v>
      </c>
    </row>
    <row r="5141" spans="9:10" x14ac:dyDescent="0.3">
      <c r="I5141" s="72">
        <v>2569.5</v>
      </c>
      <c r="J5141" s="70">
        <v>0.99816176470588236</v>
      </c>
    </row>
    <row r="5142" spans="9:10" x14ac:dyDescent="0.3">
      <c r="I5142" s="72">
        <v>2570</v>
      </c>
      <c r="J5142" s="70">
        <v>0.99816176470588236</v>
      </c>
    </row>
    <row r="5143" spans="9:10" x14ac:dyDescent="0.3">
      <c r="I5143" s="72">
        <v>2570.5</v>
      </c>
      <c r="J5143" s="70">
        <v>0.99816176470588236</v>
      </c>
    </row>
    <row r="5144" spans="9:10" x14ac:dyDescent="0.3">
      <c r="I5144" s="72">
        <v>2571</v>
      </c>
      <c r="J5144" s="70">
        <v>0.99816176470588236</v>
      </c>
    </row>
    <row r="5145" spans="9:10" x14ac:dyDescent="0.3">
      <c r="I5145" s="72">
        <v>2571.5</v>
      </c>
      <c r="J5145" s="70">
        <v>0.99816176470588236</v>
      </c>
    </row>
    <row r="5146" spans="9:10" x14ac:dyDescent="0.3">
      <c r="I5146" s="72">
        <v>2572</v>
      </c>
      <c r="J5146" s="70">
        <v>0.99816176470588236</v>
      </c>
    </row>
    <row r="5147" spans="9:10" x14ac:dyDescent="0.3">
      <c r="I5147" s="72">
        <v>2572.5</v>
      </c>
      <c r="J5147" s="70">
        <v>0.99816176470588236</v>
      </c>
    </row>
    <row r="5148" spans="9:10" x14ac:dyDescent="0.3">
      <c r="I5148" s="72">
        <v>2573</v>
      </c>
      <c r="J5148" s="70">
        <v>0.99816176470588236</v>
      </c>
    </row>
    <row r="5149" spans="9:10" x14ac:dyDescent="0.3">
      <c r="I5149" s="72">
        <v>2573.5</v>
      </c>
      <c r="J5149" s="70">
        <v>0.99816176470588236</v>
      </c>
    </row>
    <row r="5150" spans="9:10" x14ac:dyDescent="0.3">
      <c r="I5150" s="72">
        <v>2574</v>
      </c>
      <c r="J5150" s="70">
        <v>0.99816176470588236</v>
      </c>
    </row>
    <row r="5151" spans="9:10" x14ac:dyDescent="0.3">
      <c r="I5151" s="72">
        <v>2574.5</v>
      </c>
      <c r="J5151" s="70">
        <v>0.99816176470588236</v>
      </c>
    </row>
    <row r="5152" spans="9:10" x14ac:dyDescent="0.3">
      <c r="I5152" s="72">
        <v>2575</v>
      </c>
      <c r="J5152" s="70">
        <v>0.99816176470588236</v>
      </c>
    </row>
    <row r="5153" spans="9:10" x14ac:dyDescent="0.3">
      <c r="I5153" s="72">
        <v>2575.5</v>
      </c>
      <c r="J5153" s="70">
        <v>0.99816176470588236</v>
      </c>
    </row>
    <row r="5154" spans="9:10" x14ac:dyDescent="0.3">
      <c r="I5154" s="72">
        <v>2576</v>
      </c>
      <c r="J5154" s="70">
        <v>0.99816176470588236</v>
      </c>
    </row>
    <row r="5155" spans="9:10" x14ac:dyDescent="0.3">
      <c r="I5155" s="72">
        <v>2576.5</v>
      </c>
      <c r="J5155" s="70">
        <v>0.99816176470588236</v>
      </c>
    </row>
    <row r="5156" spans="9:10" x14ac:dyDescent="0.3">
      <c r="I5156" s="72">
        <v>2577</v>
      </c>
      <c r="J5156" s="70">
        <v>0.99816176470588236</v>
      </c>
    </row>
    <row r="5157" spans="9:10" x14ac:dyDescent="0.3">
      <c r="I5157" s="72">
        <v>2577.5</v>
      </c>
      <c r="J5157" s="70">
        <v>0.99816176470588236</v>
      </c>
    </row>
    <row r="5158" spans="9:10" x14ac:dyDescent="0.3">
      <c r="I5158" s="72">
        <v>2578</v>
      </c>
      <c r="J5158" s="70">
        <v>0.99816176470588236</v>
      </c>
    </row>
    <row r="5159" spans="9:10" x14ac:dyDescent="0.3">
      <c r="I5159" s="72">
        <v>2578.5</v>
      </c>
      <c r="J5159" s="70">
        <v>0.99816176470588236</v>
      </c>
    </row>
    <row r="5160" spans="9:10" x14ac:dyDescent="0.3">
      <c r="I5160" s="72">
        <v>2579</v>
      </c>
      <c r="J5160" s="70">
        <v>0.99816176470588236</v>
      </c>
    </row>
    <row r="5161" spans="9:10" x14ac:dyDescent="0.3">
      <c r="I5161" s="72">
        <v>2579.5</v>
      </c>
      <c r="J5161" s="70">
        <v>0.99816176470588236</v>
      </c>
    </row>
    <row r="5162" spans="9:10" x14ac:dyDescent="0.3">
      <c r="I5162" s="72">
        <v>2580</v>
      </c>
      <c r="J5162" s="70">
        <v>0.99816176470588236</v>
      </c>
    </row>
    <row r="5163" spans="9:10" x14ac:dyDescent="0.3">
      <c r="I5163" s="72">
        <v>2580.5</v>
      </c>
      <c r="J5163" s="70">
        <v>0.99816176470588236</v>
      </c>
    </row>
    <row r="5164" spans="9:10" x14ac:dyDescent="0.3">
      <c r="I5164" s="72">
        <v>2581</v>
      </c>
      <c r="J5164" s="70">
        <v>0.99816176470588236</v>
      </c>
    </row>
    <row r="5165" spans="9:10" x14ac:dyDescent="0.3">
      <c r="I5165" s="72">
        <v>2581.5</v>
      </c>
      <c r="J5165" s="70">
        <v>0.99816176470588236</v>
      </c>
    </row>
    <row r="5166" spans="9:10" x14ac:dyDescent="0.3">
      <c r="I5166" s="72">
        <v>2582</v>
      </c>
      <c r="J5166" s="70">
        <v>0.99816176470588236</v>
      </c>
    </row>
    <row r="5167" spans="9:10" x14ac:dyDescent="0.3">
      <c r="I5167" s="72">
        <v>2582.5</v>
      </c>
      <c r="J5167" s="70">
        <v>0.99816176470588236</v>
      </c>
    </row>
    <row r="5168" spans="9:10" x14ac:dyDescent="0.3">
      <c r="I5168" s="72">
        <v>2583</v>
      </c>
      <c r="J5168" s="70">
        <v>0.99816176470588236</v>
      </c>
    </row>
    <row r="5169" spans="9:10" x14ac:dyDescent="0.3">
      <c r="I5169" s="72">
        <v>2583.5</v>
      </c>
      <c r="J5169" s="70">
        <v>0.99816176470588236</v>
      </c>
    </row>
    <row r="5170" spans="9:10" x14ac:dyDescent="0.3">
      <c r="I5170" s="72">
        <v>2584</v>
      </c>
      <c r="J5170" s="70">
        <v>0.99816176470588236</v>
      </c>
    </row>
    <row r="5171" spans="9:10" x14ac:dyDescent="0.3">
      <c r="I5171" s="72">
        <v>2584.5</v>
      </c>
      <c r="J5171" s="70">
        <v>0.99816176470588236</v>
      </c>
    </row>
    <row r="5172" spans="9:10" x14ac:dyDescent="0.3">
      <c r="I5172" s="72">
        <v>2585</v>
      </c>
      <c r="J5172" s="70">
        <v>0.99816176470588236</v>
      </c>
    </row>
    <row r="5173" spans="9:10" x14ac:dyDescent="0.3">
      <c r="I5173" s="72">
        <v>2585.5</v>
      </c>
      <c r="J5173" s="70">
        <v>0.99816176470588236</v>
      </c>
    </row>
    <row r="5174" spans="9:10" x14ac:dyDescent="0.3">
      <c r="I5174" s="72">
        <v>2586</v>
      </c>
      <c r="J5174" s="70">
        <v>0.99816176470588236</v>
      </c>
    </row>
    <row r="5175" spans="9:10" x14ac:dyDescent="0.3">
      <c r="I5175" s="72">
        <v>2586.5</v>
      </c>
      <c r="J5175" s="70">
        <v>0.99816176470588236</v>
      </c>
    </row>
    <row r="5176" spans="9:10" x14ac:dyDescent="0.3">
      <c r="I5176" s="72">
        <v>2587</v>
      </c>
      <c r="J5176" s="70">
        <v>0.99816176470588236</v>
      </c>
    </row>
    <row r="5177" spans="9:10" x14ac:dyDescent="0.3">
      <c r="I5177" s="72">
        <v>2587.5</v>
      </c>
      <c r="J5177" s="70">
        <v>0.99816176470588236</v>
      </c>
    </row>
    <row r="5178" spans="9:10" x14ac:dyDescent="0.3">
      <c r="I5178" s="72">
        <v>2588</v>
      </c>
      <c r="J5178" s="70">
        <v>0.99816176470588236</v>
      </c>
    </row>
    <row r="5179" spans="9:10" x14ac:dyDescent="0.3">
      <c r="I5179" s="72">
        <v>2588.5</v>
      </c>
      <c r="J5179" s="70">
        <v>0.99816176470588236</v>
      </c>
    </row>
    <row r="5180" spans="9:10" x14ac:dyDescent="0.3">
      <c r="I5180" s="72">
        <v>2589</v>
      </c>
      <c r="J5180" s="70">
        <v>0.99816176470588236</v>
      </c>
    </row>
    <row r="5181" spans="9:10" x14ac:dyDescent="0.3">
      <c r="I5181" s="72">
        <v>2589.5</v>
      </c>
      <c r="J5181" s="70">
        <v>0.99816176470588236</v>
      </c>
    </row>
    <row r="5182" spans="9:10" x14ac:dyDescent="0.3">
      <c r="I5182" s="72">
        <v>2590</v>
      </c>
      <c r="J5182" s="70">
        <v>0.99816176470588236</v>
      </c>
    </row>
    <row r="5183" spans="9:10" x14ac:dyDescent="0.3">
      <c r="I5183" s="72">
        <v>2590.5</v>
      </c>
      <c r="J5183" s="70">
        <v>0.99816176470588236</v>
      </c>
    </row>
    <row r="5184" spans="9:10" x14ac:dyDescent="0.3">
      <c r="I5184" s="72">
        <v>2591</v>
      </c>
      <c r="J5184" s="70">
        <v>0.99816176470588236</v>
      </c>
    </row>
    <row r="5185" spans="9:10" x14ac:dyDescent="0.3">
      <c r="I5185" s="72">
        <v>2591.5</v>
      </c>
      <c r="J5185" s="70">
        <v>0.99816176470588236</v>
      </c>
    </row>
    <row r="5186" spans="9:10" x14ac:dyDescent="0.3">
      <c r="I5186" s="72">
        <v>2592</v>
      </c>
      <c r="J5186" s="70">
        <v>0.99816176470588236</v>
      </c>
    </row>
    <row r="5187" spans="9:10" x14ac:dyDescent="0.3">
      <c r="I5187" s="72">
        <v>2592.5</v>
      </c>
      <c r="J5187" s="70">
        <v>0.99816176470588236</v>
      </c>
    </row>
    <row r="5188" spans="9:10" x14ac:dyDescent="0.3">
      <c r="I5188" s="72">
        <v>2593</v>
      </c>
      <c r="J5188" s="70">
        <v>0.99816176470588236</v>
      </c>
    </row>
    <row r="5189" spans="9:10" x14ac:dyDescent="0.3">
      <c r="I5189" s="72">
        <v>2593.5</v>
      </c>
      <c r="J5189" s="70">
        <v>0.99816176470588236</v>
      </c>
    </row>
    <row r="5190" spans="9:10" x14ac:dyDescent="0.3">
      <c r="I5190" s="72">
        <v>2594</v>
      </c>
      <c r="J5190" s="70">
        <v>0.99816176470588236</v>
      </c>
    </row>
    <row r="5191" spans="9:10" x14ac:dyDescent="0.3">
      <c r="I5191" s="72">
        <v>2594.5</v>
      </c>
      <c r="J5191" s="70">
        <v>0.99816176470588236</v>
      </c>
    </row>
    <row r="5192" spans="9:10" x14ac:dyDescent="0.3">
      <c r="I5192" s="72">
        <v>2595</v>
      </c>
      <c r="J5192" s="70">
        <v>0.99816176470588236</v>
      </c>
    </row>
    <row r="5193" spans="9:10" x14ac:dyDescent="0.3">
      <c r="I5193" s="72">
        <v>2595.5</v>
      </c>
      <c r="J5193" s="70">
        <v>0.99816176470588236</v>
      </c>
    </row>
    <row r="5194" spans="9:10" x14ac:dyDescent="0.3">
      <c r="I5194" s="72">
        <v>2596</v>
      </c>
      <c r="J5194" s="70">
        <v>0.99816176470588236</v>
      </c>
    </row>
    <row r="5195" spans="9:10" x14ac:dyDescent="0.3">
      <c r="I5195" s="72">
        <v>2596.5</v>
      </c>
      <c r="J5195" s="70">
        <v>0.99816176470588236</v>
      </c>
    </row>
    <row r="5196" spans="9:10" x14ac:dyDescent="0.3">
      <c r="I5196" s="72">
        <v>2597</v>
      </c>
      <c r="J5196" s="70">
        <v>0.99816176470588236</v>
      </c>
    </row>
    <row r="5197" spans="9:10" x14ac:dyDescent="0.3">
      <c r="I5197" s="72">
        <v>2597.5</v>
      </c>
      <c r="J5197" s="70">
        <v>0.99816176470588236</v>
      </c>
    </row>
    <row r="5198" spans="9:10" x14ac:dyDescent="0.3">
      <c r="I5198" s="72">
        <v>2598</v>
      </c>
      <c r="J5198" s="70">
        <v>0.99816176470588236</v>
      </c>
    </row>
    <row r="5199" spans="9:10" x14ac:dyDescent="0.3">
      <c r="I5199" s="72">
        <v>2598.5</v>
      </c>
      <c r="J5199" s="70">
        <v>0.99816176470588236</v>
      </c>
    </row>
    <row r="5200" spans="9:10" x14ac:dyDescent="0.3">
      <c r="I5200" s="72">
        <v>2599</v>
      </c>
      <c r="J5200" s="70">
        <v>0.99816176470588236</v>
      </c>
    </row>
    <row r="5201" spans="9:10" x14ac:dyDescent="0.3">
      <c r="I5201" s="72">
        <v>2599.5</v>
      </c>
      <c r="J5201" s="70">
        <v>0.99816176470588236</v>
      </c>
    </row>
    <row r="5202" spans="9:10" x14ac:dyDescent="0.3">
      <c r="I5202" s="72">
        <v>2600</v>
      </c>
      <c r="J5202" s="70">
        <v>0.99816176470588236</v>
      </c>
    </row>
    <row r="5203" spans="9:10" x14ac:dyDescent="0.3">
      <c r="I5203" s="72">
        <v>2600.5</v>
      </c>
      <c r="J5203" s="70">
        <v>0.99816176470588236</v>
      </c>
    </row>
    <row r="5204" spans="9:10" x14ac:dyDescent="0.3">
      <c r="I5204" s="72">
        <v>2601</v>
      </c>
      <c r="J5204" s="70">
        <v>0.99816176470588236</v>
      </c>
    </row>
    <row r="5205" spans="9:10" x14ac:dyDescent="0.3">
      <c r="I5205" s="72">
        <v>2601.5</v>
      </c>
      <c r="J5205" s="70">
        <v>0.99816176470588236</v>
      </c>
    </row>
    <row r="5206" spans="9:10" x14ac:dyDescent="0.3">
      <c r="I5206" s="72">
        <v>2602</v>
      </c>
      <c r="J5206" s="70">
        <v>0.99816176470588236</v>
      </c>
    </row>
    <row r="5207" spans="9:10" x14ac:dyDescent="0.3">
      <c r="I5207" s="72">
        <v>2602.5</v>
      </c>
      <c r="J5207" s="70">
        <v>0.99816176470588236</v>
      </c>
    </row>
    <row r="5208" spans="9:10" x14ac:dyDescent="0.3">
      <c r="I5208" s="72">
        <v>2603</v>
      </c>
      <c r="J5208" s="70">
        <v>0.99816176470588236</v>
      </c>
    </row>
    <row r="5209" spans="9:10" x14ac:dyDescent="0.3">
      <c r="I5209" s="72">
        <v>2603.5</v>
      </c>
      <c r="J5209" s="70">
        <v>0.99816176470588236</v>
      </c>
    </row>
    <row r="5210" spans="9:10" x14ac:dyDescent="0.3">
      <c r="I5210" s="72">
        <v>2604</v>
      </c>
      <c r="J5210" s="70">
        <v>0.99816176470588236</v>
      </c>
    </row>
    <row r="5211" spans="9:10" x14ac:dyDescent="0.3">
      <c r="I5211" s="72">
        <v>2604.5</v>
      </c>
      <c r="J5211" s="70">
        <v>0.99816176470588236</v>
      </c>
    </row>
    <row r="5212" spans="9:10" x14ac:dyDescent="0.3">
      <c r="I5212" s="72">
        <v>2605</v>
      </c>
      <c r="J5212" s="70">
        <v>0.99816176470588236</v>
      </c>
    </row>
    <row r="5213" spans="9:10" x14ac:dyDescent="0.3">
      <c r="I5213" s="72">
        <v>2605.5</v>
      </c>
      <c r="J5213" s="70">
        <v>0.99816176470588236</v>
      </c>
    </row>
    <row r="5214" spans="9:10" x14ac:dyDescent="0.3">
      <c r="I5214" s="72">
        <v>2606</v>
      </c>
      <c r="J5214" s="70">
        <v>0.99816176470588236</v>
      </c>
    </row>
    <row r="5215" spans="9:10" x14ac:dyDescent="0.3">
      <c r="I5215" s="72">
        <v>2606.5</v>
      </c>
      <c r="J5215" s="70">
        <v>0.99816176470588236</v>
      </c>
    </row>
    <row r="5216" spans="9:10" x14ac:dyDescent="0.3">
      <c r="I5216" s="72">
        <v>2607</v>
      </c>
      <c r="J5216" s="70">
        <v>0.99816176470588236</v>
      </c>
    </row>
    <row r="5217" spans="9:10" x14ac:dyDescent="0.3">
      <c r="I5217" s="72">
        <v>2607.5</v>
      </c>
      <c r="J5217" s="70">
        <v>0.99816176470588236</v>
      </c>
    </row>
    <row r="5218" spans="9:10" x14ac:dyDescent="0.3">
      <c r="I5218" s="72">
        <v>2608</v>
      </c>
      <c r="J5218" s="70">
        <v>0.99816176470588236</v>
      </c>
    </row>
    <row r="5219" spans="9:10" x14ac:dyDescent="0.3">
      <c r="I5219" s="72">
        <v>2608.5</v>
      </c>
      <c r="J5219" s="70">
        <v>0.99816176470588236</v>
      </c>
    </row>
    <row r="5220" spans="9:10" x14ac:dyDescent="0.3">
      <c r="I5220" s="72">
        <v>2609</v>
      </c>
      <c r="J5220" s="70">
        <v>0.99816176470588236</v>
      </c>
    </row>
    <row r="5221" spans="9:10" x14ac:dyDescent="0.3">
      <c r="I5221" s="72">
        <v>2609.5</v>
      </c>
      <c r="J5221" s="70">
        <v>0.99816176470588236</v>
      </c>
    </row>
    <row r="5222" spans="9:10" x14ac:dyDescent="0.3">
      <c r="I5222" s="72">
        <v>2610</v>
      </c>
      <c r="J5222" s="70">
        <v>0.99816176470588236</v>
      </c>
    </row>
    <row r="5223" spans="9:10" x14ac:dyDescent="0.3">
      <c r="I5223" s="72">
        <v>2610.5</v>
      </c>
      <c r="J5223" s="70">
        <v>0.99816176470588236</v>
      </c>
    </row>
    <row r="5224" spans="9:10" x14ac:dyDescent="0.3">
      <c r="I5224" s="72">
        <v>2611</v>
      </c>
      <c r="J5224" s="70">
        <v>0.99816176470588236</v>
      </c>
    </row>
    <row r="5225" spans="9:10" x14ac:dyDescent="0.3">
      <c r="I5225" s="72">
        <v>2611.5</v>
      </c>
      <c r="J5225" s="70">
        <v>0.99816176470588236</v>
      </c>
    </row>
    <row r="5226" spans="9:10" x14ac:dyDescent="0.3">
      <c r="I5226" s="72">
        <v>2612</v>
      </c>
      <c r="J5226" s="70">
        <v>0.99816176470588236</v>
      </c>
    </row>
    <row r="5227" spans="9:10" x14ac:dyDescent="0.3">
      <c r="I5227" s="72">
        <v>2612.5</v>
      </c>
      <c r="J5227" s="70">
        <v>0.99816176470588236</v>
      </c>
    </row>
    <row r="5228" spans="9:10" x14ac:dyDescent="0.3">
      <c r="I5228" s="72">
        <v>2613</v>
      </c>
      <c r="J5228" s="70">
        <v>0.99816176470588236</v>
      </c>
    </row>
    <row r="5229" spans="9:10" x14ac:dyDescent="0.3">
      <c r="I5229" s="72">
        <v>2613.5</v>
      </c>
      <c r="J5229" s="70">
        <v>0.99816176470588236</v>
      </c>
    </row>
    <row r="5230" spans="9:10" x14ac:dyDescent="0.3">
      <c r="I5230" s="72">
        <v>2614</v>
      </c>
      <c r="J5230" s="70">
        <v>0.99816176470588236</v>
      </c>
    </row>
    <row r="5231" spans="9:10" x14ac:dyDescent="0.3">
      <c r="I5231" s="72">
        <v>2614.5</v>
      </c>
      <c r="J5231" s="70">
        <v>0.99816176470588236</v>
      </c>
    </row>
    <row r="5232" spans="9:10" x14ac:dyDescent="0.3">
      <c r="I5232" s="72">
        <v>2615</v>
      </c>
      <c r="J5232" s="70">
        <v>0.99816176470588236</v>
      </c>
    </row>
    <row r="5233" spans="9:10" x14ac:dyDescent="0.3">
      <c r="I5233" s="72">
        <v>2615.5</v>
      </c>
      <c r="J5233" s="70">
        <v>0.99816176470588236</v>
      </c>
    </row>
    <row r="5234" spans="9:10" x14ac:dyDescent="0.3">
      <c r="I5234" s="72">
        <v>2616</v>
      </c>
      <c r="J5234" s="70">
        <v>0.99816176470588236</v>
      </c>
    </row>
    <row r="5235" spans="9:10" x14ac:dyDescent="0.3">
      <c r="I5235" s="72">
        <v>2616.5</v>
      </c>
      <c r="J5235" s="70">
        <v>0.99816176470588236</v>
      </c>
    </row>
    <row r="5236" spans="9:10" x14ac:dyDescent="0.3">
      <c r="I5236" s="72">
        <v>2617</v>
      </c>
      <c r="J5236" s="70">
        <v>0.99816176470588236</v>
      </c>
    </row>
    <row r="5237" spans="9:10" x14ac:dyDescent="0.3">
      <c r="I5237" s="72">
        <v>2617.5</v>
      </c>
      <c r="J5237" s="70">
        <v>0.99816176470588236</v>
      </c>
    </row>
    <row r="5238" spans="9:10" x14ac:dyDescent="0.3">
      <c r="I5238" s="72">
        <v>2618</v>
      </c>
      <c r="J5238" s="70">
        <v>0.99816176470588236</v>
      </c>
    </row>
    <row r="5239" spans="9:10" x14ac:dyDescent="0.3">
      <c r="I5239" s="72">
        <v>2618.5</v>
      </c>
      <c r="J5239" s="70">
        <v>0.99816176470588236</v>
      </c>
    </row>
    <row r="5240" spans="9:10" x14ac:dyDescent="0.3">
      <c r="I5240" s="72">
        <v>2619</v>
      </c>
      <c r="J5240" s="70">
        <v>0.99816176470588236</v>
      </c>
    </row>
    <row r="5241" spans="9:10" x14ac:dyDescent="0.3">
      <c r="I5241" s="72">
        <v>2619.5</v>
      </c>
      <c r="J5241" s="70">
        <v>0.99816176470588236</v>
      </c>
    </row>
    <row r="5242" spans="9:10" x14ac:dyDescent="0.3">
      <c r="I5242" s="72">
        <v>2620</v>
      </c>
      <c r="J5242" s="70">
        <v>0.99816176470588236</v>
      </c>
    </row>
    <row r="5243" spans="9:10" x14ac:dyDescent="0.3">
      <c r="I5243" s="72">
        <v>2620.5</v>
      </c>
      <c r="J5243" s="70">
        <v>0.99816176470588236</v>
      </c>
    </row>
    <row r="5244" spans="9:10" x14ac:dyDescent="0.3">
      <c r="I5244" s="72">
        <v>2621</v>
      </c>
      <c r="J5244" s="70">
        <v>0.99816176470588236</v>
      </c>
    </row>
    <row r="5245" spans="9:10" x14ac:dyDescent="0.3">
      <c r="I5245" s="72">
        <v>2621.5</v>
      </c>
      <c r="J5245" s="70">
        <v>0.99816176470588236</v>
      </c>
    </row>
    <row r="5246" spans="9:10" x14ac:dyDescent="0.3">
      <c r="I5246" s="72">
        <v>2622</v>
      </c>
      <c r="J5246" s="70">
        <v>0.99816176470588236</v>
      </c>
    </row>
    <row r="5247" spans="9:10" x14ac:dyDescent="0.3">
      <c r="I5247" s="72">
        <v>2622.5</v>
      </c>
      <c r="J5247" s="70">
        <v>0.99816176470588236</v>
      </c>
    </row>
    <row r="5248" spans="9:10" x14ac:dyDescent="0.3">
      <c r="I5248" s="72">
        <v>2623</v>
      </c>
      <c r="J5248" s="70">
        <v>0.99816176470588236</v>
      </c>
    </row>
    <row r="5249" spans="9:10" x14ac:dyDescent="0.3">
      <c r="I5249" s="72">
        <v>2623.5</v>
      </c>
      <c r="J5249" s="70">
        <v>0.99816176470588236</v>
      </c>
    </row>
    <row r="5250" spans="9:10" x14ac:dyDescent="0.3">
      <c r="I5250" s="72">
        <v>2624</v>
      </c>
      <c r="J5250" s="70">
        <v>0.99816176470588236</v>
      </c>
    </row>
    <row r="5251" spans="9:10" x14ac:dyDescent="0.3">
      <c r="I5251" s="72">
        <v>2624.5</v>
      </c>
      <c r="J5251" s="70">
        <v>0.99816176470588236</v>
      </c>
    </row>
    <row r="5252" spans="9:10" x14ac:dyDescent="0.3">
      <c r="I5252" s="72">
        <v>2625</v>
      </c>
      <c r="J5252" s="70">
        <v>0.99816176470588236</v>
      </c>
    </row>
    <row r="5253" spans="9:10" x14ac:dyDescent="0.3">
      <c r="I5253" s="72">
        <v>2625.5</v>
      </c>
      <c r="J5253" s="70">
        <v>0.99816176470588236</v>
      </c>
    </row>
    <row r="5254" spans="9:10" x14ac:dyDescent="0.3">
      <c r="I5254" s="72">
        <v>2626</v>
      </c>
      <c r="J5254" s="70">
        <v>0.99816176470588236</v>
      </c>
    </row>
    <row r="5255" spans="9:10" x14ac:dyDescent="0.3">
      <c r="I5255" s="72">
        <v>2626.5</v>
      </c>
      <c r="J5255" s="70">
        <v>0.99816176470588236</v>
      </c>
    </row>
    <row r="5256" spans="9:10" x14ac:dyDescent="0.3">
      <c r="I5256" s="72">
        <v>2627</v>
      </c>
      <c r="J5256" s="70">
        <v>0.99816176470588236</v>
      </c>
    </row>
    <row r="5257" spans="9:10" x14ac:dyDescent="0.3">
      <c r="I5257" s="72">
        <v>2627.5</v>
      </c>
      <c r="J5257" s="70">
        <v>0.99816176470588236</v>
      </c>
    </row>
    <row r="5258" spans="9:10" x14ac:dyDescent="0.3">
      <c r="I5258" s="72">
        <v>2628</v>
      </c>
      <c r="J5258" s="70">
        <v>0.99816176470588236</v>
      </c>
    </row>
    <row r="5259" spans="9:10" x14ac:dyDescent="0.3">
      <c r="I5259" s="72">
        <v>2628.5</v>
      </c>
      <c r="J5259" s="70">
        <v>0.99816176470588236</v>
      </c>
    </row>
    <row r="5260" spans="9:10" x14ac:dyDescent="0.3">
      <c r="I5260" s="72">
        <v>2629</v>
      </c>
      <c r="J5260" s="70">
        <v>0.99816176470588236</v>
      </c>
    </row>
    <row r="5261" spans="9:10" x14ac:dyDescent="0.3">
      <c r="I5261" s="72">
        <v>2629.5</v>
      </c>
      <c r="J5261" s="70">
        <v>0.99816176470588236</v>
      </c>
    </row>
    <row r="5262" spans="9:10" x14ac:dyDescent="0.3">
      <c r="I5262" s="72">
        <v>2630</v>
      </c>
      <c r="J5262" s="70">
        <v>0.99816176470588236</v>
      </c>
    </row>
    <row r="5263" spans="9:10" x14ac:dyDescent="0.3">
      <c r="I5263" s="72">
        <v>2630.5</v>
      </c>
      <c r="J5263" s="70">
        <v>0.99816176470588236</v>
      </c>
    </row>
    <row r="5264" spans="9:10" x14ac:dyDescent="0.3">
      <c r="I5264" s="72">
        <v>2631</v>
      </c>
      <c r="J5264" s="70">
        <v>0.99816176470588236</v>
      </c>
    </row>
    <row r="5265" spans="9:10" x14ac:dyDescent="0.3">
      <c r="I5265" s="72">
        <v>2631.5</v>
      </c>
      <c r="J5265" s="70">
        <v>0.99816176470588236</v>
      </c>
    </row>
    <row r="5266" spans="9:10" x14ac:dyDescent="0.3">
      <c r="I5266" s="72">
        <v>2632</v>
      </c>
      <c r="J5266" s="70">
        <v>0.99816176470588236</v>
      </c>
    </row>
    <row r="5267" spans="9:10" x14ac:dyDescent="0.3">
      <c r="I5267" s="72">
        <v>2632.5</v>
      </c>
      <c r="J5267" s="70">
        <v>0.99816176470588236</v>
      </c>
    </row>
    <row r="5268" spans="9:10" x14ac:dyDescent="0.3">
      <c r="I5268" s="72">
        <v>2633</v>
      </c>
      <c r="J5268" s="70">
        <v>0.99816176470588236</v>
      </c>
    </row>
    <row r="5269" spans="9:10" x14ac:dyDescent="0.3">
      <c r="I5269" s="72">
        <v>2633.5</v>
      </c>
      <c r="J5269" s="70">
        <v>0.99816176470588236</v>
      </c>
    </row>
    <row r="5270" spans="9:10" x14ac:dyDescent="0.3">
      <c r="I5270" s="72">
        <v>2634</v>
      </c>
      <c r="J5270" s="70">
        <v>0.99816176470588236</v>
      </c>
    </row>
    <row r="5271" spans="9:10" x14ac:dyDescent="0.3">
      <c r="I5271" s="72">
        <v>2634.5</v>
      </c>
      <c r="J5271" s="70">
        <v>0.99816176470588236</v>
      </c>
    </row>
    <row r="5272" spans="9:10" x14ac:dyDescent="0.3">
      <c r="I5272" s="72">
        <v>2635</v>
      </c>
      <c r="J5272" s="70">
        <v>0.99816176470588236</v>
      </c>
    </row>
    <row r="5273" spans="9:10" x14ac:dyDescent="0.3">
      <c r="I5273" s="72">
        <v>2635.5</v>
      </c>
      <c r="J5273" s="70">
        <v>0.99816176470588236</v>
      </c>
    </row>
    <row r="5274" spans="9:10" x14ac:dyDescent="0.3">
      <c r="I5274" s="72">
        <v>2636</v>
      </c>
      <c r="J5274" s="70">
        <v>0.99816176470588236</v>
      </c>
    </row>
    <row r="5275" spans="9:10" x14ac:dyDescent="0.3">
      <c r="I5275" s="72">
        <v>2636.5</v>
      </c>
      <c r="J5275" s="70">
        <v>0.99816176470588236</v>
      </c>
    </row>
    <row r="5276" spans="9:10" x14ac:dyDescent="0.3">
      <c r="I5276" s="72">
        <v>2637</v>
      </c>
      <c r="J5276" s="70">
        <v>0.99816176470588236</v>
      </c>
    </row>
    <row r="5277" spans="9:10" x14ac:dyDescent="0.3">
      <c r="I5277" s="72">
        <v>2637.5</v>
      </c>
      <c r="J5277" s="70">
        <v>0.99816176470588236</v>
      </c>
    </row>
    <row r="5278" spans="9:10" x14ac:dyDescent="0.3">
      <c r="I5278" s="72">
        <v>2638</v>
      </c>
      <c r="J5278" s="70">
        <v>0.99816176470588236</v>
      </c>
    </row>
    <row r="5279" spans="9:10" x14ac:dyDescent="0.3">
      <c r="I5279" s="72">
        <v>2638.5</v>
      </c>
      <c r="J5279" s="70">
        <v>0.99816176470588236</v>
      </c>
    </row>
    <row r="5280" spans="9:10" x14ac:dyDescent="0.3">
      <c r="I5280" s="72">
        <v>2639</v>
      </c>
      <c r="J5280" s="70">
        <v>0.99816176470588236</v>
      </c>
    </row>
    <row r="5281" spans="9:10" x14ac:dyDescent="0.3">
      <c r="I5281" s="72">
        <v>2639.5</v>
      </c>
      <c r="J5281" s="70">
        <v>0.99816176470588236</v>
      </c>
    </row>
    <row r="5282" spans="9:10" x14ac:dyDescent="0.3">
      <c r="I5282" s="72">
        <v>2640</v>
      </c>
      <c r="J5282" s="70">
        <v>0.99816176470588236</v>
      </c>
    </row>
    <row r="5283" spans="9:10" x14ac:dyDescent="0.3">
      <c r="I5283" s="72">
        <v>2640.5</v>
      </c>
      <c r="J5283" s="70">
        <v>0.99816176470588236</v>
      </c>
    </row>
    <row r="5284" spans="9:10" x14ac:dyDescent="0.3">
      <c r="I5284" s="72">
        <v>2641</v>
      </c>
      <c r="J5284" s="70">
        <v>0.99816176470588236</v>
      </c>
    </row>
    <row r="5285" spans="9:10" x14ac:dyDescent="0.3">
      <c r="I5285" s="72">
        <v>2641.5</v>
      </c>
      <c r="J5285" s="70">
        <v>0.99816176470588236</v>
      </c>
    </row>
    <row r="5286" spans="9:10" x14ac:dyDescent="0.3">
      <c r="I5286" s="72">
        <v>2642</v>
      </c>
      <c r="J5286" s="70">
        <v>0.99816176470588236</v>
      </c>
    </row>
    <row r="5287" spans="9:10" x14ac:dyDescent="0.3">
      <c r="I5287" s="72">
        <v>2642.5</v>
      </c>
      <c r="J5287" s="70">
        <v>0.99816176470588236</v>
      </c>
    </row>
    <row r="5288" spans="9:10" x14ac:dyDescent="0.3">
      <c r="I5288" s="72">
        <v>2643</v>
      </c>
      <c r="J5288" s="70">
        <v>0.99816176470588236</v>
      </c>
    </row>
    <row r="5289" spans="9:10" x14ac:dyDescent="0.3">
      <c r="I5289" s="72">
        <v>2643.5</v>
      </c>
      <c r="J5289" s="70">
        <v>0.99816176470588236</v>
      </c>
    </row>
    <row r="5290" spans="9:10" x14ac:dyDescent="0.3">
      <c r="I5290" s="72">
        <v>2644</v>
      </c>
      <c r="J5290" s="70">
        <v>0.99816176470588236</v>
      </c>
    </row>
    <row r="5291" spans="9:10" x14ac:dyDescent="0.3">
      <c r="I5291" s="72">
        <v>2644.5</v>
      </c>
      <c r="J5291" s="70">
        <v>0.99816176470588236</v>
      </c>
    </row>
    <row r="5292" spans="9:10" x14ac:dyDescent="0.3">
      <c r="I5292" s="72">
        <v>2645</v>
      </c>
      <c r="J5292" s="70">
        <v>0.99816176470588236</v>
      </c>
    </row>
    <row r="5293" spans="9:10" x14ac:dyDescent="0.3">
      <c r="I5293" s="72">
        <v>2645.5</v>
      </c>
      <c r="J5293" s="70">
        <v>0.99816176470588236</v>
      </c>
    </row>
    <row r="5294" spans="9:10" x14ac:dyDescent="0.3">
      <c r="I5294" s="72">
        <v>2646</v>
      </c>
      <c r="J5294" s="70">
        <v>0.99816176470588236</v>
      </c>
    </row>
    <row r="5295" spans="9:10" x14ac:dyDescent="0.3">
      <c r="I5295" s="72">
        <v>2646.5</v>
      </c>
      <c r="J5295" s="70">
        <v>0.99816176470588236</v>
      </c>
    </row>
    <row r="5296" spans="9:10" x14ac:dyDescent="0.3">
      <c r="I5296" s="72">
        <v>2647</v>
      </c>
      <c r="J5296" s="70">
        <v>0.99816176470588236</v>
      </c>
    </row>
    <row r="5297" spans="9:10" x14ac:dyDescent="0.3">
      <c r="I5297" s="72">
        <v>2647.5</v>
      </c>
      <c r="J5297" s="70">
        <v>0.99816176470588236</v>
      </c>
    </row>
    <row r="5298" spans="9:10" x14ac:dyDescent="0.3">
      <c r="I5298" s="72">
        <v>2648</v>
      </c>
      <c r="J5298" s="70">
        <v>0.99816176470588236</v>
      </c>
    </row>
    <row r="5299" spans="9:10" x14ac:dyDescent="0.3">
      <c r="I5299" s="72">
        <v>2648.5</v>
      </c>
      <c r="J5299" s="70">
        <v>0.99816176470588236</v>
      </c>
    </row>
    <row r="5300" spans="9:10" x14ac:dyDescent="0.3">
      <c r="I5300" s="72">
        <v>2649</v>
      </c>
      <c r="J5300" s="70">
        <v>0.99816176470588236</v>
      </c>
    </row>
    <row r="5301" spans="9:10" x14ac:dyDescent="0.3">
      <c r="I5301" s="72">
        <v>2649.5</v>
      </c>
      <c r="J5301" s="70">
        <v>0.99816176470588236</v>
      </c>
    </row>
    <row r="5302" spans="9:10" x14ac:dyDescent="0.3">
      <c r="I5302" s="72">
        <v>2650</v>
      </c>
      <c r="J5302" s="70">
        <v>0.99816176470588236</v>
      </c>
    </row>
    <row r="5303" spans="9:10" x14ac:dyDescent="0.3">
      <c r="I5303" s="72">
        <v>2650.5</v>
      </c>
      <c r="J5303" s="70">
        <v>0.99816176470588236</v>
      </c>
    </row>
    <row r="5304" spans="9:10" x14ac:dyDescent="0.3">
      <c r="I5304" s="72">
        <v>2651</v>
      </c>
      <c r="J5304" s="70">
        <v>0.99816176470588236</v>
      </c>
    </row>
    <row r="5305" spans="9:10" x14ac:dyDescent="0.3">
      <c r="I5305" s="72">
        <v>2651.5</v>
      </c>
      <c r="J5305" s="70">
        <v>0.99816176470588236</v>
      </c>
    </row>
    <row r="5306" spans="9:10" x14ac:dyDescent="0.3">
      <c r="I5306" s="72">
        <v>2652</v>
      </c>
      <c r="J5306" s="70">
        <v>0.99816176470588236</v>
      </c>
    </row>
    <row r="5307" spans="9:10" x14ac:dyDescent="0.3">
      <c r="I5307" s="72">
        <v>2652.5</v>
      </c>
      <c r="J5307" s="70">
        <v>0.99816176470588236</v>
      </c>
    </row>
    <row r="5308" spans="9:10" x14ac:dyDescent="0.3">
      <c r="I5308" s="72">
        <v>2653</v>
      </c>
      <c r="J5308" s="70">
        <v>0.99816176470588236</v>
      </c>
    </row>
    <row r="5309" spans="9:10" x14ac:dyDescent="0.3">
      <c r="I5309" s="72">
        <v>2653.5</v>
      </c>
      <c r="J5309" s="70">
        <v>0.99816176470588236</v>
      </c>
    </row>
    <row r="5310" spans="9:10" x14ac:dyDescent="0.3">
      <c r="I5310" s="72">
        <v>2654</v>
      </c>
      <c r="J5310" s="70">
        <v>0.99816176470588236</v>
      </c>
    </row>
    <row r="5311" spans="9:10" x14ac:dyDescent="0.3">
      <c r="I5311" s="72">
        <v>2654.5</v>
      </c>
      <c r="J5311" s="70">
        <v>0.99816176470588236</v>
      </c>
    </row>
    <row r="5312" spans="9:10" x14ac:dyDescent="0.3">
      <c r="I5312" s="72">
        <v>2655</v>
      </c>
      <c r="J5312" s="70">
        <v>0.99816176470588236</v>
      </c>
    </row>
    <row r="5313" spans="9:10" x14ac:dyDescent="0.3">
      <c r="I5313" s="72">
        <v>2655.5</v>
      </c>
      <c r="J5313" s="70">
        <v>0.99816176470588236</v>
      </c>
    </row>
    <row r="5314" spans="9:10" x14ac:dyDescent="0.3">
      <c r="I5314" s="72">
        <v>2656</v>
      </c>
      <c r="J5314" s="70">
        <v>0.99816176470588236</v>
      </c>
    </row>
    <row r="5315" spans="9:10" x14ac:dyDescent="0.3">
      <c r="I5315" s="72">
        <v>2656.5</v>
      </c>
      <c r="J5315" s="70">
        <v>0.99816176470588236</v>
      </c>
    </row>
    <row r="5316" spans="9:10" x14ac:dyDescent="0.3">
      <c r="I5316" s="72">
        <v>2657</v>
      </c>
      <c r="J5316" s="70">
        <v>0.99816176470588236</v>
      </c>
    </row>
    <row r="5317" spans="9:10" x14ac:dyDescent="0.3">
      <c r="I5317" s="72">
        <v>2657.5</v>
      </c>
      <c r="J5317" s="70">
        <v>0.99816176470588236</v>
      </c>
    </row>
    <row r="5318" spans="9:10" x14ac:dyDescent="0.3">
      <c r="I5318" s="72">
        <v>2658</v>
      </c>
      <c r="J5318" s="70">
        <v>0.99816176470588236</v>
      </c>
    </row>
    <row r="5319" spans="9:10" x14ac:dyDescent="0.3">
      <c r="I5319" s="72">
        <v>2658.5</v>
      </c>
      <c r="J5319" s="70">
        <v>0.99816176470588236</v>
      </c>
    </row>
    <row r="5320" spans="9:10" x14ac:dyDescent="0.3">
      <c r="I5320" s="72">
        <v>2659</v>
      </c>
      <c r="J5320" s="70">
        <v>0.99816176470588236</v>
      </c>
    </row>
    <row r="5321" spans="9:10" x14ac:dyDescent="0.3">
      <c r="I5321" s="72">
        <v>2659.5</v>
      </c>
      <c r="J5321" s="70">
        <v>0.99816176470588236</v>
      </c>
    </row>
    <row r="5322" spans="9:10" x14ac:dyDescent="0.3">
      <c r="I5322" s="72">
        <v>2660</v>
      </c>
      <c r="J5322" s="70">
        <v>0.99816176470588236</v>
      </c>
    </row>
    <row r="5323" spans="9:10" x14ac:dyDescent="0.3">
      <c r="I5323" s="72">
        <v>2660.5</v>
      </c>
      <c r="J5323" s="70">
        <v>0.99816176470588236</v>
      </c>
    </row>
    <row r="5324" spans="9:10" x14ac:dyDescent="0.3">
      <c r="I5324" s="72">
        <v>2661</v>
      </c>
      <c r="J5324" s="70">
        <v>0.99816176470588236</v>
      </c>
    </row>
    <row r="5325" spans="9:10" x14ac:dyDescent="0.3">
      <c r="I5325" s="72">
        <v>2661.5</v>
      </c>
      <c r="J5325" s="70">
        <v>0.99816176470588236</v>
      </c>
    </row>
    <row r="5326" spans="9:10" x14ac:dyDescent="0.3">
      <c r="I5326" s="72">
        <v>2662</v>
      </c>
      <c r="J5326" s="70">
        <v>0.99816176470588236</v>
      </c>
    </row>
    <row r="5327" spans="9:10" x14ac:dyDescent="0.3">
      <c r="I5327" s="72">
        <v>2662.5</v>
      </c>
      <c r="J5327" s="70">
        <v>0.99816176470588236</v>
      </c>
    </row>
    <row r="5328" spans="9:10" x14ac:dyDescent="0.3">
      <c r="I5328" s="72">
        <v>2663</v>
      </c>
      <c r="J5328" s="70">
        <v>0.99816176470588236</v>
      </c>
    </row>
    <row r="5329" spans="9:10" x14ac:dyDescent="0.3">
      <c r="I5329" s="72">
        <v>2663.5</v>
      </c>
      <c r="J5329" s="70">
        <v>0.99816176470588236</v>
      </c>
    </row>
    <row r="5330" spans="9:10" x14ac:dyDescent="0.3">
      <c r="I5330" s="72">
        <v>2664</v>
      </c>
      <c r="J5330" s="70">
        <v>0.99816176470588236</v>
      </c>
    </row>
    <row r="5331" spans="9:10" x14ac:dyDescent="0.3">
      <c r="I5331" s="72">
        <v>2664.5</v>
      </c>
      <c r="J5331" s="70">
        <v>0.99816176470588236</v>
      </c>
    </row>
    <row r="5332" spans="9:10" x14ac:dyDescent="0.3">
      <c r="I5332" s="72">
        <v>2665</v>
      </c>
      <c r="J5332" s="70">
        <v>0.99816176470588236</v>
      </c>
    </row>
    <row r="5333" spans="9:10" x14ac:dyDescent="0.3">
      <c r="I5333" s="72">
        <v>2665.5</v>
      </c>
      <c r="J5333" s="70">
        <v>0.99816176470588236</v>
      </c>
    </row>
    <row r="5334" spans="9:10" x14ac:dyDescent="0.3">
      <c r="I5334" s="72">
        <v>2666</v>
      </c>
      <c r="J5334" s="70">
        <v>0.99816176470588236</v>
      </c>
    </row>
    <row r="5335" spans="9:10" x14ac:dyDescent="0.3">
      <c r="I5335" s="72">
        <v>2666.5</v>
      </c>
      <c r="J5335" s="70">
        <v>0.99816176470588236</v>
      </c>
    </row>
    <row r="5336" spans="9:10" x14ac:dyDescent="0.3">
      <c r="I5336" s="72">
        <v>2667</v>
      </c>
      <c r="J5336" s="70">
        <v>0.99816176470588236</v>
      </c>
    </row>
    <row r="5337" spans="9:10" x14ac:dyDescent="0.3">
      <c r="I5337" s="72">
        <v>2667.5</v>
      </c>
      <c r="J5337" s="70">
        <v>0.99816176470588236</v>
      </c>
    </row>
    <row r="5338" spans="9:10" x14ac:dyDescent="0.3">
      <c r="I5338" s="72">
        <v>2668</v>
      </c>
      <c r="J5338" s="70">
        <v>0.99816176470588236</v>
      </c>
    </row>
    <row r="5339" spans="9:10" x14ac:dyDescent="0.3">
      <c r="I5339" s="72">
        <v>2668.5</v>
      </c>
      <c r="J5339" s="70">
        <v>0.99816176470588236</v>
      </c>
    </row>
    <row r="5340" spans="9:10" x14ac:dyDescent="0.3">
      <c r="I5340" s="72">
        <v>2669</v>
      </c>
      <c r="J5340" s="70">
        <v>0.99816176470588236</v>
      </c>
    </row>
    <row r="5341" spans="9:10" x14ac:dyDescent="0.3">
      <c r="I5341" s="72">
        <v>2669.5</v>
      </c>
      <c r="J5341" s="70">
        <v>0.99816176470588236</v>
      </c>
    </row>
    <row r="5342" spans="9:10" x14ac:dyDescent="0.3">
      <c r="I5342" s="72">
        <v>2670</v>
      </c>
      <c r="J5342" s="70">
        <v>0.99816176470588236</v>
      </c>
    </row>
    <row r="5343" spans="9:10" x14ac:dyDescent="0.3">
      <c r="I5343" s="72">
        <v>2670.5</v>
      </c>
      <c r="J5343" s="70">
        <v>0.99816176470588236</v>
      </c>
    </row>
    <row r="5344" spans="9:10" x14ac:dyDescent="0.3">
      <c r="I5344" s="72">
        <v>2671</v>
      </c>
      <c r="J5344" s="70">
        <v>0.99816176470588236</v>
      </c>
    </row>
    <row r="5345" spans="9:10" x14ac:dyDescent="0.3">
      <c r="I5345" s="72">
        <v>2671.5</v>
      </c>
      <c r="J5345" s="70">
        <v>0.99816176470588236</v>
      </c>
    </row>
    <row r="5346" spans="9:10" x14ac:dyDescent="0.3">
      <c r="I5346" s="72">
        <v>2672</v>
      </c>
      <c r="J5346" s="70">
        <v>0.99816176470588236</v>
      </c>
    </row>
    <row r="5347" spans="9:10" x14ac:dyDescent="0.3">
      <c r="I5347" s="72">
        <v>2672.5</v>
      </c>
      <c r="J5347" s="70">
        <v>0.99816176470588236</v>
      </c>
    </row>
    <row r="5348" spans="9:10" x14ac:dyDescent="0.3">
      <c r="I5348" s="72">
        <v>2673</v>
      </c>
      <c r="J5348" s="70">
        <v>0.99816176470588236</v>
      </c>
    </row>
    <row r="5349" spans="9:10" x14ac:dyDescent="0.3">
      <c r="I5349" s="72">
        <v>2673.5</v>
      </c>
      <c r="J5349" s="70">
        <v>0.99816176470588236</v>
      </c>
    </row>
    <row r="5350" spans="9:10" x14ac:dyDescent="0.3">
      <c r="I5350" s="72">
        <v>2674</v>
      </c>
      <c r="J5350" s="70">
        <v>0.99816176470588236</v>
      </c>
    </row>
    <row r="5351" spans="9:10" x14ac:dyDescent="0.3">
      <c r="I5351" s="72">
        <v>2674.5</v>
      </c>
      <c r="J5351" s="70">
        <v>0.99816176470588236</v>
      </c>
    </row>
    <row r="5352" spans="9:10" x14ac:dyDescent="0.3">
      <c r="I5352" s="72">
        <v>2675</v>
      </c>
      <c r="J5352" s="70">
        <v>0.99816176470588236</v>
      </c>
    </row>
    <row r="5353" spans="9:10" x14ac:dyDescent="0.3">
      <c r="I5353" s="72">
        <v>2675.5</v>
      </c>
      <c r="J5353" s="70">
        <v>0.99816176470588236</v>
      </c>
    </row>
    <row r="5354" spans="9:10" x14ac:dyDescent="0.3">
      <c r="I5354" s="72">
        <v>2676</v>
      </c>
      <c r="J5354" s="70">
        <v>0.99816176470588236</v>
      </c>
    </row>
    <row r="5355" spans="9:10" x14ac:dyDescent="0.3">
      <c r="I5355" s="72">
        <v>2676.5</v>
      </c>
      <c r="J5355" s="70">
        <v>0.99816176470588236</v>
      </c>
    </row>
    <row r="5356" spans="9:10" x14ac:dyDescent="0.3">
      <c r="I5356" s="72">
        <v>2677</v>
      </c>
      <c r="J5356" s="70">
        <v>0.99816176470588236</v>
      </c>
    </row>
    <row r="5357" spans="9:10" x14ac:dyDescent="0.3">
      <c r="I5357" s="72">
        <v>2677.5</v>
      </c>
      <c r="J5357" s="70">
        <v>0.99816176470588236</v>
      </c>
    </row>
    <row r="5358" spans="9:10" x14ac:dyDescent="0.3">
      <c r="I5358" s="72">
        <v>2678</v>
      </c>
      <c r="J5358" s="70">
        <v>0.99816176470588236</v>
      </c>
    </row>
    <row r="5359" spans="9:10" x14ac:dyDescent="0.3">
      <c r="I5359" s="72">
        <v>2678.5</v>
      </c>
      <c r="J5359" s="70">
        <v>0.99816176470588236</v>
      </c>
    </row>
    <row r="5360" spans="9:10" x14ac:dyDescent="0.3">
      <c r="I5360" s="72">
        <v>2679</v>
      </c>
      <c r="J5360" s="70">
        <v>0.99816176470588236</v>
      </c>
    </row>
    <row r="5361" spans="9:10" x14ac:dyDescent="0.3">
      <c r="I5361" s="72">
        <v>2679.5</v>
      </c>
      <c r="J5361" s="70">
        <v>0.99816176470588236</v>
      </c>
    </row>
    <row r="5362" spans="9:10" x14ac:dyDescent="0.3">
      <c r="I5362" s="72">
        <v>2680</v>
      </c>
      <c r="J5362" s="70">
        <v>0.99816176470588236</v>
      </c>
    </row>
    <row r="5363" spans="9:10" x14ac:dyDescent="0.3">
      <c r="I5363" s="72">
        <v>2680.5</v>
      </c>
      <c r="J5363" s="70">
        <v>0.99816176470588236</v>
      </c>
    </row>
    <row r="5364" spans="9:10" x14ac:dyDescent="0.3">
      <c r="I5364" s="72">
        <v>2681</v>
      </c>
      <c r="J5364" s="70">
        <v>0.99816176470588236</v>
      </c>
    </row>
    <row r="5365" spans="9:10" x14ac:dyDescent="0.3">
      <c r="I5365" s="72">
        <v>2681.5</v>
      </c>
      <c r="J5365" s="70">
        <v>0.99816176470588236</v>
      </c>
    </row>
    <row r="5366" spans="9:10" x14ac:dyDescent="0.3">
      <c r="I5366" s="72">
        <v>2682</v>
      </c>
      <c r="J5366" s="70">
        <v>0.99816176470588236</v>
      </c>
    </row>
    <row r="5367" spans="9:10" x14ac:dyDescent="0.3">
      <c r="I5367" s="72">
        <v>2682.5</v>
      </c>
      <c r="J5367" s="70">
        <v>0.99816176470588236</v>
      </c>
    </row>
    <row r="5368" spans="9:10" x14ac:dyDescent="0.3">
      <c r="I5368" s="72">
        <v>2683</v>
      </c>
      <c r="J5368" s="70">
        <v>0.99816176470588236</v>
      </c>
    </row>
    <row r="5369" spans="9:10" x14ac:dyDescent="0.3">
      <c r="I5369" s="72">
        <v>2683.5</v>
      </c>
      <c r="J5369" s="70">
        <v>0.99816176470588236</v>
      </c>
    </row>
    <row r="5370" spans="9:10" x14ac:dyDescent="0.3">
      <c r="I5370" s="72">
        <v>2684</v>
      </c>
      <c r="J5370" s="70">
        <v>0.99816176470588236</v>
      </c>
    </row>
    <row r="5371" spans="9:10" x14ac:dyDescent="0.3">
      <c r="I5371" s="72">
        <v>2684.5</v>
      </c>
      <c r="J5371" s="70">
        <v>0.99816176470588236</v>
      </c>
    </row>
    <row r="5372" spans="9:10" x14ac:dyDescent="0.3">
      <c r="I5372" s="72">
        <v>2685</v>
      </c>
      <c r="J5372" s="70">
        <v>0.99816176470588236</v>
      </c>
    </row>
    <row r="5373" spans="9:10" x14ac:dyDescent="0.3">
      <c r="I5373" s="72">
        <v>2685.5</v>
      </c>
      <c r="J5373" s="70">
        <v>0.99816176470588236</v>
      </c>
    </row>
    <row r="5374" spans="9:10" x14ac:dyDescent="0.3">
      <c r="I5374" s="72">
        <v>2686</v>
      </c>
      <c r="J5374" s="70">
        <v>0.99816176470588236</v>
      </c>
    </row>
    <row r="5375" spans="9:10" x14ac:dyDescent="0.3">
      <c r="I5375" s="72">
        <v>2686.5</v>
      </c>
      <c r="J5375" s="70">
        <v>0.99816176470588236</v>
      </c>
    </row>
    <row r="5376" spans="9:10" x14ac:dyDescent="0.3">
      <c r="I5376" s="72">
        <v>2687</v>
      </c>
      <c r="J5376" s="70">
        <v>0.99816176470588236</v>
      </c>
    </row>
    <row r="5377" spans="9:10" x14ac:dyDescent="0.3">
      <c r="I5377" s="72">
        <v>2687.5</v>
      </c>
      <c r="J5377" s="70">
        <v>0.99816176470588236</v>
      </c>
    </row>
    <row r="5378" spans="9:10" x14ac:dyDescent="0.3">
      <c r="I5378" s="72">
        <v>2688</v>
      </c>
      <c r="J5378" s="70">
        <v>0.99816176470588236</v>
      </c>
    </row>
    <row r="5379" spans="9:10" x14ac:dyDescent="0.3">
      <c r="I5379" s="72">
        <v>2688.5</v>
      </c>
      <c r="J5379" s="70">
        <v>0.99816176470588236</v>
      </c>
    </row>
    <row r="5380" spans="9:10" x14ac:dyDescent="0.3">
      <c r="I5380" s="72">
        <v>2689</v>
      </c>
      <c r="J5380" s="70">
        <v>0.99816176470588236</v>
      </c>
    </row>
    <row r="5381" spans="9:10" x14ac:dyDescent="0.3">
      <c r="I5381" s="72">
        <v>2689.5</v>
      </c>
      <c r="J5381" s="70">
        <v>0.99816176470588236</v>
      </c>
    </row>
    <row r="5382" spans="9:10" x14ac:dyDescent="0.3">
      <c r="I5382" s="72">
        <v>2690</v>
      </c>
      <c r="J5382" s="70">
        <v>0.99816176470588236</v>
      </c>
    </row>
    <row r="5383" spans="9:10" x14ac:dyDescent="0.3">
      <c r="I5383" s="72">
        <v>2690.5</v>
      </c>
      <c r="J5383" s="70">
        <v>0.99816176470588236</v>
      </c>
    </row>
    <row r="5384" spans="9:10" x14ac:dyDescent="0.3">
      <c r="I5384" s="72">
        <v>2691</v>
      </c>
      <c r="J5384" s="70">
        <v>0.99816176470588236</v>
      </c>
    </row>
    <row r="5385" spans="9:10" x14ac:dyDescent="0.3">
      <c r="I5385" s="72">
        <v>2691.5</v>
      </c>
      <c r="J5385" s="70">
        <v>0.99816176470588236</v>
      </c>
    </row>
    <row r="5386" spans="9:10" x14ac:dyDescent="0.3">
      <c r="I5386" s="72">
        <v>2692</v>
      </c>
      <c r="J5386" s="70">
        <v>0.99816176470588236</v>
      </c>
    </row>
    <row r="5387" spans="9:10" x14ac:dyDescent="0.3">
      <c r="I5387" s="72">
        <v>2692.5</v>
      </c>
      <c r="J5387" s="70">
        <v>0.99816176470588236</v>
      </c>
    </row>
    <row r="5388" spans="9:10" x14ac:dyDescent="0.3">
      <c r="I5388" s="72">
        <v>2693</v>
      </c>
      <c r="J5388" s="70">
        <v>0.99816176470588236</v>
      </c>
    </row>
    <row r="5389" spans="9:10" x14ac:dyDescent="0.3">
      <c r="I5389" s="72">
        <v>2693.5</v>
      </c>
      <c r="J5389" s="70">
        <v>0.99816176470588236</v>
      </c>
    </row>
    <row r="5390" spans="9:10" x14ac:dyDescent="0.3">
      <c r="I5390" s="72">
        <v>2694</v>
      </c>
      <c r="J5390" s="70">
        <v>0.99816176470588236</v>
      </c>
    </row>
    <row r="5391" spans="9:10" x14ac:dyDescent="0.3">
      <c r="I5391" s="72">
        <v>2694.5</v>
      </c>
      <c r="J5391" s="70">
        <v>0.99816176470588236</v>
      </c>
    </row>
    <row r="5392" spans="9:10" x14ac:dyDescent="0.3">
      <c r="I5392" s="72">
        <v>2695</v>
      </c>
      <c r="J5392" s="70">
        <v>0.99816176470588236</v>
      </c>
    </row>
    <row r="5393" spans="9:10" x14ac:dyDescent="0.3">
      <c r="I5393" s="72">
        <v>2695.5</v>
      </c>
      <c r="J5393" s="70">
        <v>0.99816176470588236</v>
      </c>
    </row>
    <row r="5394" spans="9:10" x14ac:dyDescent="0.3">
      <c r="I5394" s="72">
        <v>2696</v>
      </c>
      <c r="J5394" s="70">
        <v>0.99816176470588236</v>
      </c>
    </row>
    <row r="5395" spans="9:10" x14ac:dyDescent="0.3">
      <c r="I5395" s="72">
        <v>2696.5</v>
      </c>
      <c r="J5395" s="70">
        <v>0.99816176470588236</v>
      </c>
    </row>
    <row r="5396" spans="9:10" x14ac:dyDescent="0.3">
      <c r="I5396" s="72">
        <v>2697</v>
      </c>
      <c r="J5396" s="70">
        <v>0.99816176470588236</v>
      </c>
    </row>
    <row r="5397" spans="9:10" x14ac:dyDescent="0.3">
      <c r="I5397" s="72">
        <v>2697.5</v>
      </c>
      <c r="J5397" s="70">
        <v>0.99816176470588236</v>
      </c>
    </row>
    <row r="5398" spans="9:10" x14ac:dyDescent="0.3">
      <c r="I5398" s="72">
        <v>2698</v>
      </c>
      <c r="J5398" s="70">
        <v>0.99816176470588236</v>
      </c>
    </row>
    <row r="5399" spans="9:10" x14ac:dyDescent="0.3">
      <c r="I5399" s="72">
        <v>2698.5</v>
      </c>
      <c r="J5399" s="70">
        <v>0.99816176470588236</v>
      </c>
    </row>
    <row r="5400" spans="9:10" x14ac:dyDescent="0.3">
      <c r="I5400" s="72">
        <v>2699</v>
      </c>
      <c r="J5400" s="70">
        <v>0.99816176470588236</v>
      </c>
    </row>
    <row r="5401" spans="9:10" x14ac:dyDescent="0.3">
      <c r="I5401" s="72">
        <v>2699.5</v>
      </c>
      <c r="J5401" s="70">
        <v>0.99816176470588236</v>
      </c>
    </row>
    <row r="5402" spans="9:10" x14ac:dyDescent="0.3">
      <c r="I5402" s="72">
        <v>2700</v>
      </c>
      <c r="J5402" s="70">
        <v>0.99816176470588236</v>
      </c>
    </row>
    <row r="5403" spans="9:10" x14ac:dyDescent="0.3">
      <c r="I5403" s="72">
        <v>2700.5</v>
      </c>
      <c r="J5403" s="70">
        <v>0.99816176470588236</v>
      </c>
    </row>
    <row r="5404" spans="9:10" x14ac:dyDescent="0.3">
      <c r="I5404" s="72">
        <v>2701</v>
      </c>
      <c r="J5404" s="70">
        <v>0.99816176470588236</v>
      </c>
    </row>
    <row r="5405" spans="9:10" x14ac:dyDescent="0.3">
      <c r="I5405" s="72">
        <v>2701.5</v>
      </c>
      <c r="J5405" s="70">
        <v>0.99816176470588236</v>
      </c>
    </row>
    <row r="5406" spans="9:10" x14ac:dyDescent="0.3">
      <c r="I5406" s="72">
        <v>2702</v>
      </c>
      <c r="J5406" s="70">
        <v>0.99816176470588236</v>
      </c>
    </row>
    <row r="5407" spans="9:10" x14ac:dyDescent="0.3">
      <c r="I5407" s="72">
        <v>2702.5</v>
      </c>
      <c r="J5407" s="70">
        <v>0.99816176470588236</v>
      </c>
    </row>
    <row r="5408" spans="9:10" x14ac:dyDescent="0.3">
      <c r="I5408" s="72">
        <v>2703</v>
      </c>
      <c r="J5408" s="70">
        <v>0.99816176470588236</v>
      </c>
    </row>
    <row r="5409" spans="9:10" x14ac:dyDescent="0.3">
      <c r="I5409" s="72">
        <v>2703.5</v>
      </c>
      <c r="J5409" s="70">
        <v>0.99816176470588236</v>
      </c>
    </row>
    <row r="5410" spans="9:10" x14ac:dyDescent="0.3">
      <c r="I5410" s="72">
        <v>2704</v>
      </c>
      <c r="J5410" s="70">
        <v>0.99816176470588236</v>
      </c>
    </row>
    <row r="5411" spans="9:10" x14ac:dyDescent="0.3">
      <c r="I5411" s="72">
        <v>2704.5</v>
      </c>
      <c r="J5411" s="70">
        <v>0.99816176470588236</v>
      </c>
    </row>
    <row r="5412" spans="9:10" x14ac:dyDescent="0.3">
      <c r="I5412" s="72">
        <v>2705</v>
      </c>
      <c r="J5412" s="70">
        <v>0.99816176470588236</v>
      </c>
    </row>
    <row r="5413" spans="9:10" x14ac:dyDescent="0.3">
      <c r="I5413" s="72">
        <v>2705.5</v>
      </c>
      <c r="J5413" s="70">
        <v>0.99816176470588236</v>
      </c>
    </row>
    <row r="5414" spans="9:10" x14ac:dyDescent="0.3">
      <c r="I5414" s="72">
        <v>2706</v>
      </c>
      <c r="J5414" s="70">
        <v>0.99816176470588236</v>
      </c>
    </row>
    <row r="5415" spans="9:10" x14ac:dyDescent="0.3">
      <c r="I5415" s="72">
        <v>2706.5</v>
      </c>
      <c r="J5415" s="70">
        <v>0.99816176470588236</v>
      </c>
    </row>
    <row r="5416" spans="9:10" x14ac:dyDescent="0.3">
      <c r="I5416" s="72">
        <v>2707</v>
      </c>
      <c r="J5416" s="70">
        <v>0.99816176470588236</v>
      </c>
    </row>
    <row r="5417" spans="9:10" x14ac:dyDescent="0.3">
      <c r="I5417" s="72">
        <v>2707.5</v>
      </c>
      <c r="J5417" s="70">
        <v>0.99816176470588236</v>
      </c>
    </row>
    <row r="5418" spans="9:10" x14ac:dyDescent="0.3">
      <c r="I5418" s="72">
        <v>2708</v>
      </c>
      <c r="J5418" s="70">
        <v>0.99816176470588236</v>
      </c>
    </row>
    <row r="5419" spans="9:10" x14ac:dyDescent="0.3">
      <c r="I5419" s="72">
        <v>2708.5</v>
      </c>
      <c r="J5419" s="70">
        <v>0.99816176470588236</v>
      </c>
    </row>
    <row r="5420" spans="9:10" x14ac:dyDescent="0.3">
      <c r="I5420" s="72">
        <v>2709</v>
      </c>
      <c r="J5420" s="70">
        <v>0.99816176470588236</v>
      </c>
    </row>
    <row r="5421" spans="9:10" x14ac:dyDescent="0.3">
      <c r="I5421" s="72">
        <v>2709.5</v>
      </c>
      <c r="J5421" s="70">
        <v>0.99816176470588236</v>
      </c>
    </row>
    <row r="5422" spans="9:10" x14ac:dyDescent="0.3">
      <c r="I5422" s="72">
        <v>2710</v>
      </c>
      <c r="J5422" s="70">
        <v>0.99816176470588236</v>
      </c>
    </row>
    <row r="5423" spans="9:10" x14ac:dyDescent="0.3">
      <c r="I5423" s="72">
        <v>2710.5</v>
      </c>
      <c r="J5423" s="70">
        <v>0.99816176470588236</v>
      </c>
    </row>
    <row r="5424" spans="9:10" x14ac:dyDescent="0.3">
      <c r="I5424" s="72">
        <v>2711</v>
      </c>
      <c r="J5424" s="70">
        <v>0.99816176470588236</v>
      </c>
    </row>
    <row r="5425" spans="9:10" x14ac:dyDescent="0.3">
      <c r="I5425" s="72">
        <v>2711.5</v>
      </c>
      <c r="J5425" s="70">
        <v>0.99816176470588236</v>
      </c>
    </row>
    <row r="5426" spans="9:10" x14ac:dyDescent="0.3">
      <c r="I5426" s="72">
        <v>2712</v>
      </c>
      <c r="J5426" s="70">
        <v>0.99816176470588236</v>
      </c>
    </row>
    <row r="5427" spans="9:10" x14ac:dyDescent="0.3">
      <c r="I5427" s="72">
        <v>2712.5</v>
      </c>
      <c r="J5427" s="70">
        <v>0.99816176470588236</v>
      </c>
    </row>
    <row r="5428" spans="9:10" x14ac:dyDescent="0.3">
      <c r="I5428" s="72">
        <v>2713</v>
      </c>
      <c r="J5428" s="70">
        <v>0.99816176470588236</v>
      </c>
    </row>
    <row r="5429" spans="9:10" x14ac:dyDescent="0.3">
      <c r="I5429" s="72">
        <v>2713.5</v>
      </c>
      <c r="J5429" s="70">
        <v>0.99816176470588236</v>
      </c>
    </row>
    <row r="5430" spans="9:10" x14ac:dyDescent="0.3">
      <c r="I5430" s="72">
        <v>2714</v>
      </c>
      <c r="J5430" s="70">
        <v>0.99816176470588236</v>
      </c>
    </row>
    <row r="5431" spans="9:10" x14ac:dyDescent="0.3">
      <c r="I5431" s="72">
        <v>2714.5</v>
      </c>
      <c r="J5431" s="70">
        <v>0.99816176470588236</v>
      </c>
    </row>
    <row r="5432" spans="9:10" x14ac:dyDescent="0.3">
      <c r="I5432" s="72">
        <v>2715</v>
      </c>
      <c r="J5432" s="70">
        <v>0.99816176470588236</v>
      </c>
    </row>
    <row r="5433" spans="9:10" x14ac:dyDescent="0.3">
      <c r="I5433" s="72">
        <v>2715.5</v>
      </c>
      <c r="J5433" s="70">
        <v>0.99816176470588236</v>
      </c>
    </row>
    <row r="5434" spans="9:10" x14ac:dyDescent="0.3">
      <c r="I5434" s="72">
        <v>2716</v>
      </c>
      <c r="J5434" s="70">
        <v>0.99816176470588236</v>
      </c>
    </row>
    <row r="5435" spans="9:10" x14ac:dyDescent="0.3">
      <c r="I5435" s="72">
        <v>2716.5</v>
      </c>
      <c r="J5435" s="70">
        <v>0.99816176470588236</v>
      </c>
    </row>
    <row r="5436" spans="9:10" x14ac:dyDescent="0.3">
      <c r="I5436" s="72">
        <v>2717</v>
      </c>
      <c r="J5436" s="70">
        <v>0.99816176470588236</v>
      </c>
    </row>
    <row r="5437" spans="9:10" x14ac:dyDescent="0.3">
      <c r="I5437" s="72">
        <v>2717.5</v>
      </c>
      <c r="J5437" s="70">
        <v>0.99816176470588236</v>
      </c>
    </row>
    <row r="5438" spans="9:10" x14ac:dyDescent="0.3">
      <c r="I5438" s="72">
        <v>2718</v>
      </c>
      <c r="J5438" s="70">
        <v>0.99816176470588236</v>
      </c>
    </row>
    <row r="5439" spans="9:10" x14ac:dyDescent="0.3">
      <c r="I5439" s="72">
        <v>2718.5</v>
      </c>
      <c r="J5439" s="70">
        <v>0.99816176470588236</v>
      </c>
    </row>
    <row r="5440" spans="9:10" x14ac:dyDescent="0.3">
      <c r="I5440" s="72">
        <v>2719</v>
      </c>
      <c r="J5440" s="70">
        <v>0.99816176470588236</v>
      </c>
    </row>
    <row r="5441" spans="9:10" x14ac:dyDescent="0.3">
      <c r="I5441" s="72">
        <v>2719.5</v>
      </c>
      <c r="J5441" s="70">
        <v>0.99816176470588236</v>
      </c>
    </row>
    <row r="5442" spans="9:10" x14ac:dyDescent="0.3">
      <c r="I5442" s="72">
        <v>2720</v>
      </c>
      <c r="J5442" s="70">
        <v>0.99816176470588236</v>
      </c>
    </row>
    <row r="5443" spans="9:10" x14ac:dyDescent="0.3">
      <c r="I5443" s="72">
        <v>2720.5</v>
      </c>
      <c r="J5443" s="70">
        <v>0.99816176470588236</v>
      </c>
    </row>
    <row r="5444" spans="9:10" x14ac:dyDescent="0.3">
      <c r="I5444" s="72">
        <v>2721</v>
      </c>
      <c r="J5444" s="70">
        <v>0.99816176470588236</v>
      </c>
    </row>
    <row r="5445" spans="9:10" x14ac:dyDescent="0.3">
      <c r="I5445" s="72">
        <v>2721.5</v>
      </c>
      <c r="J5445" s="70">
        <v>0.99816176470588236</v>
      </c>
    </row>
    <row r="5446" spans="9:10" x14ac:dyDescent="0.3">
      <c r="I5446" s="72">
        <v>2722</v>
      </c>
      <c r="J5446" s="70">
        <v>0.99816176470588236</v>
      </c>
    </row>
    <row r="5447" spans="9:10" x14ac:dyDescent="0.3">
      <c r="I5447" s="72">
        <v>2722.5</v>
      </c>
      <c r="J5447" s="70">
        <v>0.99816176470588236</v>
      </c>
    </row>
    <row r="5448" spans="9:10" x14ac:dyDescent="0.3">
      <c r="I5448" s="72">
        <v>2723</v>
      </c>
      <c r="J5448" s="70">
        <v>0.99816176470588236</v>
      </c>
    </row>
    <row r="5449" spans="9:10" x14ac:dyDescent="0.3">
      <c r="I5449" s="72">
        <v>2723.5</v>
      </c>
      <c r="J5449" s="70">
        <v>0.99816176470588236</v>
      </c>
    </row>
    <row r="5450" spans="9:10" x14ac:dyDescent="0.3">
      <c r="I5450" s="72">
        <v>2724</v>
      </c>
      <c r="J5450" s="70">
        <v>0.99816176470588236</v>
      </c>
    </row>
    <row r="5451" spans="9:10" x14ac:dyDescent="0.3">
      <c r="I5451" s="72">
        <v>2724.5</v>
      </c>
      <c r="J5451" s="70">
        <v>0.99816176470588236</v>
      </c>
    </row>
    <row r="5452" spans="9:10" x14ac:dyDescent="0.3">
      <c r="I5452" s="72">
        <v>2725</v>
      </c>
      <c r="J5452" s="70">
        <v>0.99816176470588236</v>
      </c>
    </row>
    <row r="5453" spans="9:10" x14ac:dyDescent="0.3">
      <c r="I5453" s="72">
        <v>2725.5</v>
      </c>
      <c r="J5453" s="70">
        <v>0.99816176470588236</v>
      </c>
    </row>
    <row r="5454" spans="9:10" x14ac:dyDescent="0.3">
      <c r="I5454" s="72">
        <v>2726</v>
      </c>
      <c r="J5454" s="70">
        <v>0.99816176470588236</v>
      </c>
    </row>
    <row r="5455" spans="9:10" x14ac:dyDescent="0.3">
      <c r="I5455" s="72">
        <v>2726.5</v>
      </c>
      <c r="J5455" s="70">
        <v>0.99816176470588236</v>
      </c>
    </row>
    <row r="5456" spans="9:10" x14ac:dyDescent="0.3">
      <c r="I5456" s="72">
        <v>2727</v>
      </c>
      <c r="J5456" s="70">
        <v>0.99816176470588236</v>
      </c>
    </row>
    <row r="5457" spans="9:10" x14ac:dyDescent="0.3">
      <c r="I5457" s="72">
        <v>2727.5</v>
      </c>
      <c r="J5457" s="70">
        <v>0.99816176470588236</v>
      </c>
    </row>
    <row r="5458" spans="9:10" x14ac:dyDescent="0.3">
      <c r="I5458" s="72">
        <v>2728</v>
      </c>
      <c r="J5458" s="70">
        <v>0.99816176470588236</v>
      </c>
    </row>
    <row r="5459" spans="9:10" x14ac:dyDescent="0.3">
      <c r="I5459" s="72">
        <v>2728.5</v>
      </c>
      <c r="J5459" s="70">
        <v>0.99816176470588236</v>
      </c>
    </row>
    <row r="5460" spans="9:10" x14ac:dyDescent="0.3">
      <c r="I5460" s="72">
        <v>2729</v>
      </c>
      <c r="J5460" s="70">
        <v>0.99816176470588236</v>
      </c>
    </row>
    <row r="5461" spans="9:10" x14ac:dyDescent="0.3">
      <c r="I5461" s="72">
        <v>2729.5</v>
      </c>
      <c r="J5461" s="70">
        <v>0.99816176470588236</v>
      </c>
    </row>
    <row r="5462" spans="9:10" x14ac:dyDescent="0.3">
      <c r="I5462" s="72">
        <v>2730</v>
      </c>
      <c r="J5462" s="70">
        <v>0.99816176470588236</v>
      </c>
    </row>
    <row r="5463" spans="9:10" x14ac:dyDescent="0.3">
      <c r="I5463" s="72">
        <v>2730.5</v>
      </c>
      <c r="J5463" s="70">
        <v>0.99816176470588236</v>
      </c>
    </row>
    <row r="5464" spans="9:10" x14ac:dyDescent="0.3">
      <c r="I5464" s="72">
        <v>2731</v>
      </c>
      <c r="J5464" s="70">
        <v>0.99816176470588236</v>
      </c>
    </row>
    <row r="5465" spans="9:10" x14ac:dyDescent="0.3">
      <c r="I5465" s="72">
        <v>2731.5</v>
      </c>
      <c r="J5465" s="70">
        <v>0.99816176470588236</v>
      </c>
    </row>
    <row r="5466" spans="9:10" x14ac:dyDescent="0.3">
      <c r="I5466" s="72">
        <v>2732</v>
      </c>
      <c r="J5466" s="70">
        <v>0.99816176470588236</v>
      </c>
    </row>
    <row r="5467" spans="9:10" x14ac:dyDescent="0.3">
      <c r="I5467" s="72">
        <v>2732.5</v>
      </c>
      <c r="J5467" s="70">
        <v>0.99816176470588236</v>
      </c>
    </row>
    <row r="5468" spans="9:10" x14ac:dyDescent="0.3">
      <c r="I5468" s="72">
        <v>2733</v>
      </c>
      <c r="J5468" s="70">
        <v>0.99816176470588236</v>
      </c>
    </row>
    <row r="5469" spans="9:10" x14ac:dyDescent="0.3">
      <c r="I5469" s="72">
        <v>2733.5</v>
      </c>
      <c r="J5469" s="70">
        <v>0.99816176470588236</v>
      </c>
    </row>
    <row r="5470" spans="9:10" x14ac:dyDescent="0.3">
      <c r="I5470" s="72">
        <v>2734</v>
      </c>
      <c r="J5470" s="70">
        <v>0.99816176470588236</v>
      </c>
    </row>
    <row r="5471" spans="9:10" x14ac:dyDescent="0.3">
      <c r="I5471" s="72">
        <v>2734.5</v>
      </c>
      <c r="J5471" s="70">
        <v>0.99816176470588236</v>
      </c>
    </row>
    <row r="5472" spans="9:10" x14ac:dyDescent="0.3">
      <c r="I5472" s="72">
        <v>2735</v>
      </c>
      <c r="J5472" s="70">
        <v>0.99816176470588236</v>
      </c>
    </row>
    <row r="5473" spans="9:10" x14ac:dyDescent="0.3">
      <c r="I5473" s="72">
        <v>2735.5</v>
      </c>
      <c r="J5473" s="70">
        <v>0.99816176470588236</v>
      </c>
    </row>
    <row r="5474" spans="9:10" x14ac:dyDescent="0.3">
      <c r="I5474" s="72">
        <v>2736</v>
      </c>
      <c r="J5474" s="70">
        <v>0.99816176470588236</v>
      </c>
    </row>
    <row r="5475" spans="9:10" x14ac:dyDescent="0.3">
      <c r="I5475" s="72">
        <v>2736.5</v>
      </c>
      <c r="J5475" s="70">
        <v>0.99816176470588236</v>
      </c>
    </row>
    <row r="5476" spans="9:10" x14ac:dyDescent="0.3">
      <c r="I5476" s="72">
        <v>2737</v>
      </c>
      <c r="J5476" s="70">
        <v>0.99816176470588236</v>
      </c>
    </row>
    <row r="5477" spans="9:10" x14ac:dyDescent="0.3">
      <c r="I5477" s="72">
        <v>2737.5</v>
      </c>
      <c r="J5477" s="70">
        <v>0.99816176470588236</v>
      </c>
    </row>
    <row r="5478" spans="9:10" x14ac:dyDescent="0.3">
      <c r="I5478" s="72">
        <v>2738</v>
      </c>
      <c r="J5478" s="70">
        <v>0.99816176470588236</v>
      </c>
    </row>
    <row r="5479" spans="9:10" x14ac:dyDescent="0.3">
      <c r="I5479" s="72">
        <v>2738.5</v>
      </c>
      <c r="J5479" s="70">
        <v>0.99816176470588236</v>
      </c>
    </row>
    <row r="5480" spans="9:10" x14ac:dyDescent="0.3">
      <c r="I5480" s="72">
        <v>2739</v>
      </c>
      <c r="J5480" s="70">
        <v>1</v>
      </c>
    </row>
    <row r="5481" spans="9:10" x14ac:dyDescent="0.3">
      <c r="I5481" s="72">
        <v>2739.5</v>
      </c>
      <c r="J5481" s="70">
        <v>1</v>
      </c>
    </row>
    <row r="5482" spans="9:10" x14ac:dyDescent="0.3">
      <c r="I5482" s="72">
        <v>2740</v>
      </c>
      <c r="J5482" s="70">
        <v>1</v>
      </c>
    </row>
    <row r="5483" spans="9:10" x14ac:dyDescent="0.3">
      <c r="I5483" s="72">
        <v>2740.5</v>
      </c>
      <c r="J5483" s="70">
        <v>1</v>
      </c>
    </row>
    <row r="5484" spans="9:10" x14ac:dyDescent="0.3">
      <c r="I5484" s="72">
        <v>2741</v>
      </c>
      <c r="J5484" s="70">
        <v>1</v>
      </c>
    </row>
    <row r="5485" spans="9:10" x14ac:dyDescent="0.3">
      <c r="I5485" s="72">
        <v>2741.5</v>
      </c>
      <c r="J5485" s="70">
        <v>1</v>
      </c>
    </row>
    <row r="5486" spans="9:10" x14ac:dyDescent="0.3">
      <c r="I5486" s="72">
        <v>2742</v>
      </c>
      <c r="J5486" s="70">
        <v>1</v>
      </c>
    </row>
    <row r="5487" spans="9:10" x14ac:dyDescent="0.3">
      <c r="I5487" s="72">
        <v>2742.5</v>
      </c>
      <c r="J5487" s="70">
        <v>1</v>
      </c>
    </row>
    <row r="5488" spans="9:10" x14ac:dyDescent="0.3">
      <c r="I5488" s="72">
        <v>2743</v>
      </c>
      <c r="J5488" s="70">
        <v>1</v>
      </c>
    </row>
    <row r="5489" spans="9:10" x14ac:dyDescent="0.3">
      <c r="I5489" s="72">
        <v>2743.5</v>
      </c>
      <c r="J5489" s="70">
        <v>1</v>
      </c>
    </row>
    <row r="5490" spans="9:10" x14ac:dyDescent="0.3">
      <c r="I5490" s="72">
        <v>2744</v>
      </c>
      <c r="J5490" s="70">
        <v>1</v>
      </c>
    </row>
    <row r="5491" spans="9:10" x14ac:dyDescent="0.3">
      <c r="I5491" s="72">
        <v>2744.5</v>
      </c>
      <c r="J5491" s="70">
        <v>1</v>
      </c>
    </row>
    <row r="5492" spans="9:10" x14ac:dyDescent="0.3">
      <c r="I5492" s="72">
        <v>2745</v>
      </c>
      <c r="J5492" s="70">
        <v>1</v>
      </c>
    </row>
    <row r="5493" spans="9:10" x14ac:dyDescent="0.3">
      <c r="I5493" s="72">
        <v>2745.5</v>
      </c>
      <c r="J5493" s="70">
        <v>1</v>
      </c>
    </row>
    <row r="5494" spans="9:10" x14ac:dyDescent="0.3">
      <c r="I5494" s="72">
        <v>2746</v>
      </c>
      <c r="J5494" s="70">
        <v>1</v>
      </c>
    </row>
    <row r="5495" spans="9:10" x14ac:dyDescent="0.3">
      <c r="I5495" s="72">
        <v>2746.5</v>
      </c>
      <c r="J5495" s="70">
        <v>1</v>
      </c>
    </row>
    <row r="5496" spans="9:10" x14ac:dyDescent="0.3">
      <c r="I5496" s="72">
        <v>2747</v>
      </c>
      <c r="J5496" s="70">
        <v>1</v>
      </c>
    </row>
    <row r="5497" spans="9:10" x14ac:dyDescent="0.3">
      <c r="I5497" s="72">
        <v>2747.5</v>
      </c>
      <c r="J5497" s="70">
        <v>1</v>
      </c>
    </row>
    <row r="5498" spans="9:10" x14ac:dyDescent="0.3">
      <c r="I5498" s="72">
        <v>2748</v>
      </c>
      <c r="J5498" s="70">
        <v>1</v>
      </c>
    </row>
    <row r="5499" spans="9:10" x14ac:dyDescent="0.3">
      <c r="I5499" s="72">
        <v>2748.5</v>
      </c>
      <c r="J5499" s="70">
        <v>1</v>
      </c>
    </row>
    <row r="5500" spans="9:10" x14ac:dyDescent="0.3">
      <c r="I5500" s="72">
        <v>2749</v>
      </c>
      <c r="J5500" s="70">
        <v>1</v>
      </c>
    </row>
    <row r="5501" spans="9:10" x14ac:dyDescent="0.3">
      <c r="I5501" s="72">
        <v>2749.5</v>
      </c>
      <c r="J5501" s="70">
        <v>1</v>
      </c>
    </row>
    <row r="5502" spans="9:10" x14ac:dyDescent="0.3">
      <c r="I5502" s="72">
        <v>2750</v>
      </c>
      <c r="J5502" s="70">
        <v>1</v>
      </c>
    </row>
    <row r="5503" spans="9:10" x14ac:dyDescent="0.3">
      <c r="I5503" s="72">
        <v>2750.5</v>
      </c>
      <c r="J5503" s="70">
        <v>1</v>
      </c>
    </row>
    <row r="5504" spans="9:10" x14ac:dyDescent="0.3">
      <c r="I5504" s="72">
        <v>2751</v>
      </c>
      <c r="J5504" s="70">
        <v>1</v>
      </c>
    </row>
    <row r="5505" spans="9:10" x14ac:dyDescent="0.3">
      <c r="I5505" s="72">
        <v>2751.5</v>
      </c>
      <c r="J5505" s="70">
        <v>1</v>
      </c>
    </row>
    <row r="5506" spans="9:10" x14ac:dyDescent="0.3">
      <c r="I5506" s="72">
        <v>2752</v>
      </c>
      <c r="J5506" s="70">
        <v>1</v>
      </c>
    </row>
    <row r="5507" spans="9:10" x14ac:dyDescent="0.3">
      <c r="I5507" s="72">
        <v>2752.5</v>
      </c>
      <c r="J5507" s="70">
        <v>1</v>
      </c>
    </row>
    <row r="5508" spans="9:10" x14ac:dyDescent="0.3">
      <c r="I5508" s="72">
        <v>2753</v>
      </c>
      <c r="J5508" s="70">
        <v>1</v>
      </c>
    </row>
    <row r="5509" spans="9:10" x14ac:dyDescent="0.3">
      <c r="I5509" s="72">
        <v>2753.5</v>
      </c>
      <c r="J5509" s="70">
        <v>1</v>
      </c>
    </row>
    <row r="5510" spans="9:10" x14ac:dyDescent="0.3">
      <c r="I5510" s="72">
        <v>2754</v>
      </c>
      <c r="J5510" s="70">
        <v>1</v>
      </c>
    </row>
    <row r="5511" spans="9:10" x14ac:dyDescent="0.3">
      <c r="I5511" s="72">
        <v>2754.5</v>
      </c>
      <c r="J5511" s="70">
        <v>1</v>
      </c>
    </row>
    <row r="5512" spans="9:10" x14ac:dyDescent="0.3">
      <c r="I5512" s="72">
        <v>2755</v>
      </c>
      <c r="J5512" s="70">
        <v>1</v>
      </c>
    </row>
    <row r="5513" spans="9:10" x14ac:dyDescent="0.3">
      <c r="I5513" s="72">
        <v>2755.5</v>
      </c>
      <c r="J5513" s="70">
        <v>1</v>
      </c>
    </row>
    <row r="5514" spans="9:10" x14ac:dyDescent="0.3">
      <c r="I5514" s="72">
        <v>2756</v>
      </c>
      <c r="J5514" s="70">
        <v>1</v>
      </c>
    </row>
    <row r="5515" spans="9:10" x14ac:dyDescent="0.3">
      <c r="I5515" s="72">
        <v>2756.5</v>
      </c>
      <c r="J5515" s="70">
        <v>1</v>
      </c>
    </row>
    <row r="5516" spans="9:10" x14ac:dyDescent="0.3">
      <c r="I5516" s="72">
        <v>2757</v>
      </c>
      <c r="J5516" s="70">
        <v>1</v>
      </c>
    </row>
    <row r="5517" spans="9:10" x14ac:dyDescent="0.3">
      <c r="I5517" s="72">
        <v>2757.5</v>
      </c>
      <c r="J5517" s="70">
        <v>1</v>
      </c>
    </row>
    <row r="5518" spans="9:10" x14ac:dyDescent="0.3">
      <c r="I5518" s="72">
        <v>2758</v>
      </c>
      <c r="J5518" s="70">
        <v>1</v>
      </c>
    </row>
    <row r="5519" spans="9:10" x14ac:dyDescent="0.3">
      <c r="I5519" s="72">
        <v>2758.5</v>
      </c>
      <c r="J5519" s="70">
        <v>1</v>
      </c>
    </row>
    <row r="5520" spans="9:10" x14ac:dyDescent="0.3">
      <c r="I5520" s="72">
        <v>2759</v>
      </c>
      <c r="J5520" s="70">
        <v>1</v>
      </c>
    </row>
    <row r="5521" spans="9:10" x14ac:dyDescent="0.3">
      <c r="I5521" s="72">
        <v>2759.5</v>
      </c>
      <c r="J5521" s="70">
        <v>1</v>
      </c>
    </row>
    <row r="5522" spans="9:10" x14ac:dyDescent="0.3">
      <c r="I5522" s="72">
        <v>2760</v>
      </c>
      <c r="J5522" s="70">
        <v>1</v>
      </c>
    </row>
    <row r="5523" spans="9:10" x14ac:dyDescent="0.3">
      <c r="I5523" s="72">
        <v>2760.5</v>
      </c>
      <c r="J5523" s="70">
        <v>1</v>
      </c>
    </row>
    <row r="5524" spans="9:10" x14ac:dyDescent="0.3">
      <c r="I5524" s="72">
        <v>2761</v>
      </c>
      <c r="J5524" s="70">
        <v>1</v>
      </c>
    </row>
    <row r="5525" spans="9:10" x14ac:dyDescent="0.3">
      <c r="I5525" s="72">
        <v>2761.5</v>
      </c>
      <c r="J5525" s="70">
        <v>1</v>
      </c>
    </row>
    <row r="5526" spans="9:10" x14ac:dyDescent="0.3">
      <c r="I5526" s="72">
        <v>2762</v>
      </c>
      <c r="J5526" s="70">
        <v>1</v>
      </c>
    </row>
    <row r="5527" spans="9:10" x14ac:dyDescent="0.3">
      <c r="I5527" s="72">
        <v>2762.5</v>
      </c>
      <c r="J5527" s="70">
        <v>1</v>
      </c>
    </row>
    <row r="5528" spans="9:10" x14ac:dyDescent="0.3">
      <c r="I5528" s="72">
        <v>2763</v>
      </c>
      <c r="J5528" s="70">
        <v>1</v>
      </c>
    </row>
    <row r="5529" spans="9:10" x14ac:dyDescent="0.3">
      <c r="I5529" s="72">
        <v>2763.5</v>
      </c>
      <c r="J5529" s="70">
        <v>1</v>
      </c>
    </row>
    <row r="5530" spans="9:10" x14ac:dyDescent="0.3">
      <c r="I5530" s="72">
        <v>2764</v>
      </c>
      <c r="J5530" s="70">
        <v>1</v>
      </c>
    </row>
    <row r="5531" spans="9:10" x14ac:dyDescent="0.3">
      <c r="I5531" s="72">
        <v>2764.5</v>
      </c>
      <c r="J5531" s="70">
        <v>1</v>
      </c>
    </row>
    <row r="5532" spans="9:10" x14ac:dyDescent="0.3">
      <c r="I5532" s="72">
        <v>2765</v>
      </c>
      <c r="J5532" s="70">
        <v>1</v>
      </c>
    </row>
    <row r="5533" spans="9:10" x14ac:dyDescent="0.3">
      <c r="I5533" s="72">
        <v>2765.5</v>
      </c>
      <c r="J5533" s="70">
        <v>1</v>
      </c>
    </row>
    <row r="5534" spans="9:10" x14ac:dyDescent="0.3">
      <c r="I5534" s="72">
        <v>2766</v>
      </c>
      <c r="J5534" s="70">
        <v>1</v>
      </c>
    </row>
    <row r="5535" spans="9:10" x14ac:dyDescent="0.3">
      <c r="I5535" s="72">
        <v>2766.5</v>
      </c>
      <c r="J5535" s="70">
        <v>1</v>
      </c>
    </row>
    <row r="5536" spans="9:10" x14ac:dyDescent="0.3">
      <c r="I5536" s="72">
        <v>2767</v>
      </c>
      <c r="J5536" s="70">
        <v>1</v>
      </c>
    </row>
    <row r="5537" spans="9:10" x14ac:dyDescent="0.3">
      <c r="I5537" s="72">
        <v>2767.5</v>
      </c>
      <c r="J5537" s="70">
        <v>1</v>
      </c>
    </row>
    <row r="5538" spans="9:10" x14ac:dyDescent="0.3">
      <c r="I5538" s="72">
        <v>2768</v>
      </c>
      <c r="J5538" s="70">
        <v>1</v>
      </c>
    </row>
    <row r="5539" spans="9:10" x14ac:dyDescent="0.3">
      <c r="I5539" s="72">
        <v>2768.5</v>
      </c>
      <c r="J5539" s="70">
        <v>1</v>
      </c>
    </row>
    <row r="5540" spans="9:10" x14ac:dyDescent="0.3">
      <c r="I5540" s="72">
        <v>2769</v>
      </c>
      <c r="J5540" s="70">
        <v>1</v>
      </c>
    </row>
    <row r="5541" spans="9:10" x14ac:dyDescent="0.3">
      <c r="I5541" s="72">
        <v>2769.5</v>
      </c>
      <c r="J5541" s="70">
        <v>1</v>
      </c>
    </row>
    <row r="5542" spans="9:10" x14ac:dyDescent="0.3">
      <c r="I5542" s="72">
        <v>2770</v>
      </c>
      <c r="J5542" s="70">
        <v>1</v>
      </c>
    </row>
    <row r="5543" spans="9:10" x14ac:dyDescent="0.3">
      <c r="I5543" s="72">
        <v>2770.5</v>
      </c>
      <c r="J5543" s="70">
        <v>1</v>
      </c>
    </row>
    <row r="5544" spans="9:10" x14ac:dyDescent="0.3">
      <c r="I5544" s="72">
        <v>2771</v>
      </c>
      <c r="J5544" s="70">
        <v>1</v>
      </c>
    </row>
    <row r="5545" spans="9:10" x14ac:dyDescent="0.3">
      <c r="I5545" s="72">
        <v>2771.5</v>
      </c>
      <c r="J5545" s="70">
        <v>1</v>
      </c>
    </row>
    <row r="5546" spans="9:10" x14ac:dyDescent="0.3">
      <c r="I5546" s="72">
        <v>2772</v>
      </c>
      <c r="J5546" s="70">
        <v>1</v>
      </c>
    </row>
    <row r="5547" spans="9:10" x14ac:dyDescent="0.3">
      <c r="I5547" s="72">
        <v>2772.5</v>
      </c>
      <c r="J5547" s="70">
        <v>1</v>
      </c>
    </row>
    <row r="5548" spans="9:10" x14ac:dyDescent="0.3">
      <c r="I5548" s="72">
        <v>2773</v>
      </c>
      <c r="J5548" s="70">
        <v>1</v>
      </c>
    </row>
    <row r="5549" spans="9:10" x14ac:dyDescent="0.3">
      <c r="I5549" s="72">
        <v>2773.5</v>
      </c>
      <c r="J5549" s="70">
        <v>1</v>
      </c>
    </row>
    <row r="5550" spans="9:10" x14ac:dyDescent="0.3">
      <c r="I5550" s="72">
        <v>2774</v>
      </c>
      <c r="J5550" s="70">
        <v>1</v>
      </c>
    </row>
    <row r="5551" spans="9:10" x14ac:dyDescent="0.3">
      <c r="I5551" s="72">
        <v>2774.5</v>
      </c>
      <c r="J5551" s="70">
        <v>1</v>
      </c>
    </row>
    <row r="5552" spans="9:10" x14ac:dyDescent="0.3">
      <c r="I5552" s="72">
        <v>2775</v>
      </c>
      <c r="J5552" s="70">
        <v>1</v>
      </c>
    </row>
    <row r="5553" spans="9:10" x14ac:dyDescent="0.3">
      <c r="I5553" s="72">
        <v>2775.5</v>
      </c>
      <c r="J5553" s="70">
        <v>1</v>
      </c>
    </row>
    <row r="5554" spans="9:10" x14ac:dyDescent="0.3">
      <c r="I5554" s="72">
        <v>2776</v>
      </c>
      <c r="J5554" s="70">
        <v>1</v>
      </c>
    </row>
    <row r="5555" spans="9:10" x14ac:dyDescent="0.3">
      <c r="I5555" s="72">
        <v>2776.5</v>
      </c>
      <c r="J5555" s="70">
        <v>1</v>
      </c>
    </row>
    <row r="5556" spans="9:10" x14ac:dyDescent="0.3">
      <c r="I5556" s="72">
        <v>2777</v>
      </c>
      <c r="J5556" s="70">
        <v>1</v>
      </c>
    </row>
    <row r="5557" spans="9:10" x14ac:dyDescent="0.3">
      <c r="I5557" s="72">
        <v>2777.5</v>
      </c>
      <c r="J5557" s="70">
        <v>1</v>
      </c>
    </row>
    <row r="5558" spans="9:10" x14ac:dyDescent="0.3">
      <c r="I5558" s="72">
        <v>2778</v>
      </c>
      <c r="J5558" s="70">
        <v>1</v>
      </c>
    </row>
    <row r="5559" spans="9:10" x14ac:dyDescent="0.3">
      <c r="I5559" s="72">
        <v>2778.5</v>
      </c>
      <c r="J5559" s="70">
        <v>1</v>
      </c>
    </row>
    <row r="5560" spans="9:10" x14ac:dyDescent="0.3">
      <c r="I5560" s="72">
        <v>2779</v>
      </c>
      <c r="J5560" s="70">
        <v>1</v>
      </c>
    </row>
    <row r="5561" spans="9:10" x14ac:dyDescent="0.3">
      <c r="I5561" s="72">
        <v>2779.5</v>
      </c>
      <c r="J5561" s="70">
        <v>1</v>
      </c>
    </row>
    <row r="5562" spans="9:10" x14ac:dyDescent="0.3">
      <c r="I5562" s="72">
        <v>2780</v>
      </c>
      <c r="J5562" s="70">
        <v>1</v>
      </c>
    </row>
    <row r="5563" spans="9:10" x14ac:dyDescent="0.3">
      <c r="I5563" s="72">
        <v>2780.5</v>
      </c>
      <c r="J5563" s="70">
        <v>1</v>
      </c>
    </row>
    <row r="5564" spans="9:10" x14ac:dyDescent="0.3">
      <c r="I5564" s="72">
        <v>2781</v>
      </c>
      <c r="J5564" s="70">
        <v>1</v>
      </c>
    </row>
    <row r="5565" spans="9:10" x14ac:dyDescent="0.3">
      <c r="I5565" s="72">
        <v>2781.5</v>
      </c>
      <c r="J5565" s="70">
        <v>1</v>
      </c>
    </row>
    <row r="5566" spans="9:10" x14ac:dyDescent="0.3">
      <c r="I5566" s="72">
        <v>2782</v>
      </c>
      <c r="J5566" s="70">
        <v>1</v>
      </c>
    </row>
    <row r="5567" spans="9:10" x14ac:dyDescent="0.3">
      <c r="I5567" s="72">
        <v>2782.5</v>
      </c>
      <c r="J5567" s="70">
        <v>1</v>
      </c>
    </row>
    <row r="5568" spans="9:10" x14ac:dyDescent="0.3">
      <c r="I5568" s="72">
        <v>2783</v>
      </c>
      <c r="J5568" s="70">
        <v>1</v>
      </c>
    </row>
    <row r="5569" spans="9:10" x14ac:dyDescent="0.3">
      <c r="I5569" s="72">
        <v>2783.5</v>
      </c>
      <c r="J5569" s="70">
        <v>1</v>
      </c>
    </row>
    <row r="5570" spans="9:10" x14ac:dyDescent="0.3">
      <c r="I5570" s="72">
        <v>2784</v>
      </c>
      <c r="J5570" s="70">
        <v>1</v>
      </c>
    </row>
    <row r="5571" spans="9:10" x14ac:dyDescent="0.3">
      <c r="I5571" s="72">
        <v>2784.5</v>
      </c>
      <c r="J5571" s="70">
        <v>1</v>
      </c>
    </row>
    <row r="5572" spans="9:10" x14ac:dyDescent="0.3">
      <c r="I5572" s="72">
        <v>2785</v>
      </c>
      <c r="J5572" s="70">
        <v>1</v>
      </c>
    </row>
    <row r="5573" spans="9:10" x14ac:dyDescent="0.3">
      <c r="I5573" s="72">
        <v>2785.5</v>
      </c>
      <c r="J5573" s="70">
        <v>1</v>
      </c>
    </row>
    <row r="5574" spans="9:10" x14ac:dyDescent="0.3">
      <c r="I5574" s="72">
        <v>2786</v>
      </c>
      <c r="J5574" s="70">
        <v>1</v>
      </c>
    </row>
    <row r="5575" spans="9:10" x14ac:dyDescent="0.3">
      <c r="I5575" s="72">
        <v>2786.5</v>
      </c>
      <c r="J5575" s="70">
        <v>1</v>
      </c>
    </row>
    <row r="5576" spans="9:10" x14ac:dyDescent="0.3">
      <c r="I5576" s="72">
        <v>2787</v>
      </c>
      <c r="J5576" s="70">
        <v>1</v>
      </c>
    </row>
    <row r="5577" spans="9:10" x14ac:dyDescent="0.3">
      <c r="I5577" s="72">
        <v>2787.5</v>
      </c>
      <c r="J5577" s="70">
        <v>1</v>
      </c>
    </row>
    <row r="5578" spans="9:10" x14ac:dyDescent="0.3">
      <c r="I5578" s="72">
        <v>2788</v>
      </c>
      <c r="J5578" s="70">
        <v>1</v>
      </c>
    </row>
    <row r="5579" spans="9:10" x14ac:dyDescent="0.3">
      <c r="I5579" s="72">
        <v>2788.5</v>
      </c>
      <c r="J5579" s="70">
        <v>1</v>
      </c>
    </row>
    <row r="5580" spans="9:10" x14ac:dyDescent="0.3">
      <c r="I5580" s="72">
        <v>2789</v>
      </c>
      <c r="J5580" s="70">
        <v>1</v>
      </c>
    </row>
    <row r="5581" spans="9:10" x14ac:dyDescent="0.3">
      <c r="I5581" s="72">
        <v>2789.5</v>
      </c>
      <c r="J5581" s="70">
        <v>1</v>
      </c>
    </row>
    <row r="5582" spans="9:10" x14ac:dyDescent="0.3">
      <c r="I5582" s="72">
        <v>2790</v>
      </c>
      <c r="J5582" s="70">
        <v>1</v>
      </c>
    </row>
    <row r="5583" spans="9:10" x14ac:dyDescent="0.3">
      <c r="I5583" s="72">
        <v>2790.5</v>
      </c>
      <c r="J5583" s="70">
        <v>1</v>
      </c>
    </row>
    <row r="5584" spans="9:10" x14ac:dyDescent="0.3">
      <c r="I5584" s="72">
        <v>2791</v>
      </c>
      <c r="J5584" s="70">
        <v>1</v>
      </c>
    </row>
    <row r="5585" spans="9:10" x14ac:dyDescent="0.3">
      <c r="I5585" s="72">
        <v>2791.5</v>
      </c>
      <c r="J5585" s="70">
        <v>1</v>
      </c>
    </row>
    <row r="5586" spans="9:10" x14ac:dyDescent="0.3">
      <c r="I5586" s="72">
        <v>2792</v>
      </c>
      <c r="J5586" s="70">
        <v>1</v>
      </c>
    </row>
    <row r="5587" spans="9:10" x14ac:dyDescent="0.3">
      <c r="I5587" s="72">
        <v>2792.5</v>
      </c>
      <c r="J5587" s="70">
        <v>1</v>
      </c>
    </row>
    <row r="5588" spans="9:10" x14ac:dyDescent="0.3">
      <c r="I5588" s="72">
        <v>2793</v>
      </c>
      <c r="J5588" s="70">
        <v>1</v>
      </c>
    </row>
    <row r="5589" spans="9:10" x14ac:dyDescent="0.3">
      <c r="I5589" s="72">
        <v>2793.5</v>
      </c>
      <c r="J5589" s="70">
        <v>1</v>
      </c>
    </row>
    <row r="5590" spans="9:10" x14ac:dyDescent="0.3">
      <c r="I5590" s="72">
        <v>2794</v>
      </c>
      <c r="J5590" s="70">
        <v>1</v>
      </c>
    </row>
    <row r="5591" spans="9:10" x14ac:dyDescent="0.3">
      <c r="I5591" s="72">
        <v>2794.5</v>
      </c>
      <c r="J5591" s="70">
        <v>1</v>
      </c>
    </row>
    <row r="5592" spans="9:10" x14ac:dyDescent="0.3">
      <c r="I5592" s="72">
        <v>2795</v>
      </c>
      <c r="J5592" s="70">
        <v>1</v>
      </c>
    </row>
    <row r="5593" spans="9:10" x14ac:dyDescent="0.3">
      <c r="I5593" s="72">
        <v>2795.5</v>
      </c>
      <c r="J5593" s="70">
        <v>1</v>
      </c>
    </row>
    <row r="5594" spans="9:10" x14ac:dyDescent="0.3">
      <c r="I5594" s="72">
        <v>2796</v>
      </c>
      <c r="J5594" s="70">
        <v>1</v>
      </c>
    </row>
    <row r="5595" spans="9:10" x14ac:dyDescent="0.3">
      <c r="I5595" s="72">
        <v>2796.5</v>
      </c>
      <c r="J5595" s="70">
        <v>1</v>
      </c>
    </row>
    <row r="5596" spans="9:10" x14ac:dyDescent="0.3">
      <c r="I5596" s="72">
        <v>2797</v>
      </c>
      <c r="J5596" s="70">
        <v>1</v>
      </c>
    </row>
    <row r="5597" spans="9:10" x14ac:dyDescent="0.3">
      <c r="I5597" s="72">
        <v>2797.5</v>
      </c>
      <c r="J5597" s="70">
        <v>1</v>
      </c>
    </row>
    <row r="5598" spans="9:10" x14ac:dyDescent="0.3">
      <c r="I5598" s="72">
        <v>2798</v>
      </c>
      <c r="J5598" s="70">
        <v>1</v>
      </c>
    </row>
    <row r="5599" spans="9:10" x14ac:dyDescent="0.3">
      <c r="I5599" s="72">
        <v>2798.5</v>
      </c>
      <c r="J5599" s="70">
        <v>1</v>
      </c>
    </row>
    <row r="5600" spans="9:10" x14ac:dyDescent="0.3">
      <c r="I5600" s="72">
        <v>2799</v>
      </c>
      <c r="J5600" s="70">
        <v>1</v>
      </c>
    </row>
    <row r="5601" spans="9:10" x14ac:dyDescent="0.3">
      <c r="I5601" s="72">
        <v>2799.5</v>
      </c>
      <c r="J5601" s="70">
        <v>1</v>
      </c>
    </row>
    <row r="5602" spans="9:10" x14ac:dyDescent="0.3">
      <c r="I5602" s="72">
        <v>2800</v>
      </c>
      <c r="J5602" s="70">
        <v>1</v>
      </c>
    </row>
    <row r="5603" spans="9:10" x14ac:dyDescent="0.3">
      <c r="I5603" s="72">
        <v>2800.5</v>
      </c>
      <c r="J5603" s="70">
        <v>1</v>
      </c>
    </row>
    <row r="5604" spans="9:10" x14ac:dyDescent="0.3">
      <c r="I5604" s="72">
        <v>2801</v>
      </c>
      <c r="J5604" s="70">
        <v>1</v>
      </c>
    </row>
    <row r="5605" spans="9:10" x14ac:dyDescent="0.3">
      <c r="I5605" s="72">
        <v>2801.5</v>
      </c>
      <c r="J5605" s="70">
        <v>1</v>
      </c>
    </row>
    <row r="5606" spans="9:10" x14ac:dyDescent="0.3">
      <c r="I5606" s="72">
        <v>2802</v>
      </c>
      <c r="J5606" s="70">
        <v>1</v>
      </c>
    </row>
    <row r="5607" spans="9:10" x14ac:dyDescent="0.3">
      <c r="I5607" s="72">
        <v>2802.5</v>
      </c>
      <c r="J5607" s="70">
        <v>1</v>
      </c>
    </row>
    <row r="5608" spans="9:10" x14ac:dyDescent="0.3">
      <c r="I5608" s="72">
        <v>2803</v>
      </c>
      <c r="J5608" s="70">
        <v>1</v>
      </c>
    </row>
    <row r="5609" spans="9:10" x14ac:dyDescent="0.3">
      <c r="I5609" s="72">
        <v>2803.5</v>
      </c>
      <c r="J5609" s="70">
        <v>1</v>
      </c>
    </row>
    <row r="5610" spans="9:10" x14ac:dyDescent="0.3">
      <c r="I5610" s="72">
        <v>2804</v>
      </c>
      <c r="J5610" s="70">
        <v>1</v>
      </c>
    </row>
    <row r="5611" spans="9:10" x14ac:dyDescent="0.3">
      <c r="I5611" s="72">
        <v>2804.5</v>
      </c>
      <c r="J5611" s="70">
        <v>1</v>
      </c>
    </row>
    <row r="5612" spans="9:10" x14ac:dyDescent="0.3">
      <c r="I5612" s="72">
        <v>2805</v>
      </c>
      <c r="J5612" s="70">
        <v>1</v>
      </c>
    </row>
    <row r="5613" spans="9:10" x14ac:dyDescent="0.3">
      <c r="I5613" s="72">
        <v>2805.5</v>
      </c>
      <c r="J5613" s="70">
        <v>1</v>
      </c>
    </row>
    <row r="5614" spans="9:10" x14ac:dyDescent="0.3">
      <c r="I5614" s="72">
        <v>2806</v>
      </c>
      <c r="J5614" s="70">
        <v>1</v>
      </c>
    </row>
    <row r="5615" spans="9:10" x14ac:dyDescent="0.3">
      <c r="I5615" s="72">
        <v>2806.5</v>
      </c>
      <c r="J5615" s="70">
        <v>1</v>
      </c>
    </row>
    <row r="5616" spans="9:10" x14ac:dyDescent="0.3">
      <c r="I5616" s="72">
        <v>2807</v>
      </c>
      <c r="J5616" s="70">
        <v>1</v>
      </c>
    </row>
    <row r="5617" spans="9:10" x14ac:dyDescent="0.3">
      <c r="I5617" s="72">
        <v>2807.5</v>
      </c>
      <c r="J5617" s="70">
        <v>1</v>
      </c>
    </row>
    <row r="5618" spans="9:10" x14ac:dyDescent="0.3">
      <c r="I5618" s="72">
        <v>2808</v>
      </c>
      <c r="J5618" s="70">
        <v>1</v>
      </c>
    </row>
    <row r="5619" spans="9:10" x14ac:dyDescent="0.3">
      <c r="I5619" s="72">
        <v>2808.5</v>
      </c>
      <c r="J5619" s="70">
        <v>1</v>
      </c>
    </row>
    <row r="5620" spans="9:10" x14ac:dyDescent="0.3">
      <c r="I5620" s="72">
        <v>2809</v>
      </c>
      <c r="J5620" s="70">
        <v>1</v>
      </c>
    </row>
    <row r="5621" spans="9:10" x14ac:dyDescent="0.3">
      <c r="I5621" s="72">
        <v>2809.5</v>
      </c>
      <c r="J5621" s="70">
        <v>1</v>
      </c>
    </row>
    <row r="5622" spans="9:10" x14ac:dyDescent="0.3">
      <c r="I5622" s="72">
        <v>2810</v>
      </c>
      <c r="J5622" s="70">
        <v>1</v>
      </c>
    </row>
    <row r="5623" spans="9:10" x14ac:dyDescent="0.3">
      <c r="I5623" s="72">
        <v>2810.5</v>
      </c>
      <c r="J5623" s="70">
        <v>1</v>
      </c>
    </row>
    <row r="5624" spans="9:10" x14ac:dyDescent="0.3">
      <c r="I5624" s="72">
        <v>2811</v>
      </c>
      <c r="J5624" s="70">
        <v>1</v>
      </c>
    </row>
    <row r="5625" spans="9:10" x14ac:dyDescent="0.3">
      <c r="I5625" s="72">
        <v>2811.5</v>
      </c>
      <c r="J5625" s="70">
        <v>1</v>
      </c>
    </row>
    <row r="5626" spans="9:10" x14ac:dyDescent="0.3">
      <c r="I5626" s="72">
        <v>2812</v>
      </c>
      <c r="J5626" s="70">
        <v>1</v>
      </c>
    </row>
    <row r="5627" spans="9:10" x14ac:dyDescent="0.3">
      <c r="I5627" s="72">
        <v>2812.5</v>
      </c>
      <c r="J5627" s="70">
        <v>1</v>
      </c>
    </row>
    <row r="5628" spans="9:10" x14ac:dyDescent="0.3">
      <c r="I5628" s="72">
        <v>2813</v>
      </c>
      <c r="J5628" s="70">
        <v>1</v>
      </c>
    </row>
    <row r="5629" spans="9:10" x14ac:dyDescent="0.3">
      <c r="I5629" s="72">
        <v>2813.5</v>
      </c>
      <c r="J5629" s="70">
        <v>1</v>
      </c>
    </row>
    <row r="5630" spans="9:10" x14ac:dyDescent="0.3">
      <c r="I5630" s="72">
        <v>2814</v>
      </c>
      <c r="J5630" s="70">
        <v>1</v>
      </c>
    </row>
    <row r="5631" spans="9:10" x14ac:dyDescent="0.3">
      <c r="I5631" s="72">
        <v>2814.5</v>
      </c>
      <c r="J5631" s="70">
        <v>1</v>
      </c>
    </row>
    <row r="5632" spans="9:10" x14ac:dyDescent="0.3">
      <c r="I5632" s="72">
        <v>2815</v>
      </c>
      <c r="J5632" s="70">
        <v>1</v>
      </c>
    </row>
    <row r="5633" spans="9:10" x14ac:dyDescent="0.3">
      <c r="I5633" s="72">
        <v>2815.5</v>
      </c>
      <c r="J5633" s="70">
        <v>1</v>
      </c>
    </row>
    <row r="5634" spans="9:10" x14ac:dyDescent="0.3">
      <c r="I5634" s="72">
        <v>2816</v>
      </c>
      <c r="J5634" s="70">
        <v>1</v>
      </c>
    </row>
    <row r="5635" spans="9:10" x14ac:dyDescent="0.3">
      <c r="I5635" s="72">
        <v>2816.5</v>
      </c>
      <c r="J5635" s="70">
        <v>1</v>
      </c>
    </row>
    <row r="5636" spans="9:10" x14ac:dyDescent="0.3">
      <c r="I5636" s="72">
        <v>2817</v>
      </c>
      <c r="J5636" s="70">
        <v>1</v>
      </c>
    </row>
    <row r="5637" spans="9:10" x14ac:dyDescent="0.3">
      <c r="I5637" s="72">
        <v>2817.5</v>
      </c>
      <c r="J5637" s="70">
        <v>1</v>
      </c>
    </row>
    <row r="5638" spans="9:10" x14ac:dyDescent="0.3">
      <c r="I5638" s="72">
        <v>2818</v>
      </c>
      <c r="J5638" s="70">
        <v>1</v>
      </c>
    </row>
    <row r="5639" spans="9:10" x14ac:dyDescent="0.3">
      <c r="I5639" s="72">
        <v>2818.5</v>
      </c>
      <c r="J5639" s="70">
        <v>1</v>
      </c>
    </row>
    <row r="5640" spans="9:10" x14ac:dyDescent="0.3">
      <c r="I5640" s="72">
        <v>2819</v>
      </c>
      <c r="J5640" s="70">
        <v>1</v>
      </c>
    </row>
    <row r="5641" spans="9:10" x14ac:dyDescent="0.3">
      <c r="I5641" s="72">
        <v>2819.5</v>
      </c>
      <c r="J5641" s="70">
        <v>1</v>
      </c>
    </row>
    <row r="5642" spans="9:10" x14ac:dyDescent="0.3">
      <c r="I5642" s="72">
        <v>2820</v>
      </c>
      <c r="J5642" s="70">
        <v>1</v>
      </c>
    </row>
    <row r="5643" spans="9:10" x14ac:dyDescent="0.3">
      <c r="I5643" s="72">
        <v>2820.5</v>
      </c>
      <c r="J5643" s="70">
        <v>1</v>
      </c>
    </row>
    <row r="5644" spans="9:10" x14ac:dyDescent="0.3">
      <c r="I5644" s="72">
        <v>2821</v>
      </c>
      <c r="J5644" s="70">
        <v>1</v>
      </c>
    </row>
    <row r="5645" spans="9:10" x14ac:dyDescent="0.3">
      <c r="I5645" s="72">
        <v>2821.5</v>
      </c>
      <c r="J5645" s="70">
        <v>1</v>
      </c>
    </row>
    <row r="5646" spans="9:10" x14ac:dyDescent="0.3">
      <c r="I5646" s="72">
        <v>2822</v>
      </c>
      <c r="J5646" s="70">
        <v>1</v>
      </c>
    </row>
    <row r="5647" spans="9:10" x14ac:dyDescent="0.3">
      <c r="I5647" s="72">
        <v>2822.5</v>
      </c>
      <c r="J5647" s="70">
        <v>1</v>
      </c>
    </row>
    <row r="5648" spans="9:10" x14ac:dyDescent="0.3">
      <c r="I5648" s="72">
        <v>2823</v>
      </c>
      <c r="J5648" s="70">
        <v>1</v>
      </c>
    </row>
    <row r="5649" spans="9:10" x14ac:dyDescent="0.3">
      <c r="I5649" s="72">
        <v>2823.5</v>
      </c>
      <c r="J5649" s="70">
        <v>1</v>
      </c>
    </row>
    <row r="5650" spans="9:10" x14ac:dyDescent="0.3">
      <c r="I5650" s="72">
        <v>2824</v>
      </c>
      <c r="J5650" s="70">
        <v>1</v>
      </c>
    </row>
    <row r="5651" spans="9:10" x14ac:dyDescent="0.3">
      <c r="I5651" s="72">
        <v>2824.5</v>
      </c>
      <c r="J5651" s="70">
        <v>1</v>
      </c>
    </row>
    <row r="5652" spans="9:10" x14ac:dyDescent="0.3">
      <c r="I5652" s="72">
        <v>2825</v>
      </c>
      <c r="J5652" s="70">
        <v>1</v>
      </c>
    </row>
    <row r="5653" spans="9:10" x14ac:dyDescent="0.3">
      <c r="I5653" s="72">
        <v>2825.5</v>
      </c>
      <c r="J5653" s="70">
        <v>1</v>
      </c>
    </row>
    <row r="5654" spans="9:10" x14ac:dyDescent="0.3">
      <c r="I5654" s="72">
        <v>2826</v>
      </c>
      <c r="J5654" s="70">
        <v>1</v>
      </c>
    </row>
    <row r="5655" spans="9:10" x14ac:dyDescent="0.3">
      <c r="I5655" s="72">
        <v>2826.5</v>
      </c>
      <c r="J5655" s="70">
        <v>1</v>
      </c>
    </row>
    <row r="5656" spans="9:10" x14ac:dyDescent="0.3">
      <c r="I5656" s="72">
        <v>2827</v>
      </c>
      <c r="J5656" s="70">
        <v>1</v>
      </c>
    </row>
    <row r="5657" spans="9:10" x14ac:dyDescent="0.3">
      <c r="I5657" s="72">
        <v>2827.5</v>
      </c>
      <c r="J5657" s="70">
        <v>1</v>
      </c>
    </row>
    <row r="5658" spans="9:10" x14ac:dyDescent="0.3">
      <c r="I5658" s="72">
        <v>2828</v>
      </c>
      <c r="J5658" s="70">
        <v>1</v>
      </c>
    </row>
    <row r="5659" spans="9:10" x14ac:dyDescent="0.3">
      <c r="I5659" s="72">
        <v>2828.5</v>
      </c>
      <c r="J5659" s="70">
        <v>1</v>
      </c>
    </row>
    <row r="5660" spans="9:10" x14ac:dyDescent="0.3">
      <c r="I5660" s="72">
        <v>2829</v>
      </c>
      <c r="J5660" s="70">
        <v>1</v>
      </c>
    </row>
    <row r="5661" spans="9:10" x14ac:dyDescent="0.3">
      <c r="I5661" s="72">
        <v>2829.5</v>
      </c>
      <c r="J5661" s="70">
        <v>1</v>
      </c>
    </row>
    <row r="5662" spans="9:10" x14ac:dyDescent="0.3">
      <c r="I5662" s="72">
        <v>2830</v>
      </c>
      <c r="J5662" s="70">
        <v>1</v>
      </c>
    </row>
    <row r="5663" spans="9:10" x14ac:dyDescent="0.3">
      <c r="I5663" s="72">
        <v>2830.5</v>
      </c>
      <c r="J5663" s="70">
        <v>1</v>
      </c>
    </row>
    <row r="5664" spans="9:10" x14ac:dyDescent="0.3">
      <c r="I5664" s="72">
        <v>2831</v>
      </c>
      <c r="J5664" s="70">
        <v>1</v>
      </c>
    </row>
    <row r="5665" spans="9:10" x14ac:dyDescent="0.3">
      <c r="I5665" s="72">
        <v>2831.5</v>
      </c>
      <c r="J5665" s="70">
        <v>1</v>
      </c>
    </row>
    <row r="5666" spans="9:10" x14ac:dyDescent="0.3">
      <c r="I5666" s="72">
        <v>2832</v>
      </c>
      <c r="J5666" s="70">
        <v>1</v>
      </c>
    </row>
    <row r="5667" spans="9:10" x14ac:dyDescent="0.3">
      <c r="I5667" s="72">
        <v>2832.5</v>
      </c>
      <c r="J5667" s="70">
        <v>1</v>
      </c>
    </row>
    <row r="5668" spans="9:10" x14ac:dyDescent="0.3">
      <c r="I5668" s="72">
        <v>2833</v>
      </c>
      <c r="J5668" s="70">
        <v>1</v>
      </c>
    </row>
    <row r="5669" spans="9:10" x14ac:dyDescent="0.3">
      <c r="I5669" s="72">
        <v>2833.5</v>
      </c>
      <c r="J5669" s="70">
        <v>1</v>
      </c>
    </row>
    <row r="5670" spans="9:10" x14ac:dyDescent="0.3">
      <c r="I5670" s="72">
        <v>2834</v>
      </c>
      <c r="J5670" s="70">
        <v>1</v>
      </c>
    </row>
    <row r="5671" spans="9:10" x14ac:dyDescent="0.3">
      <c r="I5671" s="72">
        <v>2834.5</v>
      </c>
      <c r="J5671" s="70">
        <v>1</v>
      </c>
    </row>
    <row r="5672" spans="9:10" x14ac:dyDescent="0.3">
      <c r="I5672" s="72">
        <v>2835</v>
      </c>
      <c r="J5672" s="70">
        <v>1</v>
      </c>
    </row>
    <row r="5673" spans="9:10" x14ac:dyDescent="0.3">
      <c r="I5673" s="72">
        <v>2835.5</v>
      </c>
      <c r="J5673" s="70">
        <v>1</v>
      </c>
    </row>
    <row r="5674" spans="9:10" x14ac:dyDescent="0.3">
      <c r="I5674" s="72">
        <v>2836</v>
      </c>
      <c r="J5674" s="70">
        <v>1</v>
      </c>
    </row>
    <row r="5675" spans="9:10" x14ac:dyDescent="0.3">
      <c r="I5675" s="72">
        <v>2836.5</v>
      </c>
      <c r="J5675" s="70">
        <v>1</v>
      </c>
    </row>
    <row r="5676" spans="9:10" x14ac:dyDescent="0.3">
      <c r="I5676" s="72">
        <v>2837</v>
      </c>
      <c r="J5676" s="70">
        <v>1</v>
      </c>
    </row>
    <row r="5677" spans="9:10" x14ac:dyDescent="0.3">
      <c r="I5677" s="72">
        <v>2837.5</v>
      </c>
      <c r="J5677" s="70">
        <v>1</v>
      </c>
    </row>
    <row r="5678" spans="9:10" x14ac:dyDescent="0.3">
      <c r="I5678" s="72">
        <v>2838</v>
      </c>
      <c r="J5678" s="70">
        <v>1</v>
      </c>
    </row>
    <row r="5679" spans="9:10" x14ac:dyDescent="0.3">
      <c r="I5679" s="72">
        <v>2838.5</v>
      </c>
      <c r="J5679" s="70">
        <v>1</v>
      </c>
    </row>
    <row r="5680" spans="9:10" x14ac:dyDescent="0.3">
      <c r="I5680" s="72">
        <v>2839</v>
      </c>
      <c r="J5680" s="70">
        <v>1</v>
      </c>
    </row>
    <row r="5681" spans="9:10" x14ac:dyDescent="0.3">
      <c r="I5681" s="72">
        <v>2839.5</v>
      </c>
      <c r="J5681" s="70">
        <v>1</v>
      </c>
    </row>
    <row r="5682" spans="9:10" x14ac:dyDescent="0.3">
      <c r="I5682" s="72">
        <v>2840</v>
      </c>
      <c r="J5682" s="70">
        <v>1</v>
      </c>
    </row>
    <row r="5683" spans="9:10" x14ac:dyDescent="0.3">
      <c r="I5683" s="72">
        <v>2840.5</v>
      </c>
      <c r="J5683" s="70">
        <v>1</v>
      </c>
    </row>
    <row r="5684" spans="9:10" x14ac:dyDescent="0.3">
      <c r="I5684" s="72">
        <v>2841</v>
      </c>
      <c r="J5684" s="70">
        <v>1</v>
      </c>
    </row>
    <row r="5685" spans="9:10" x14ac:dyDescent="0.3">
      <c r="I5685" s="72">
        <v>2841.5</v>
      </c>
      <c r="J5685" s="70">
        <v>1</v>
      </c>
    </row>
    <row r="5686" spans="9:10" x14ac:dyDescent="0.3">
      <c r="I5686" s="72">
        <v>2842</v>
      </c>
      <c r="J5686" s="70">
        <v>1</v>
      </c>
    </row>
    <row r="5687" spans="9:10" x14ac:dyDescent="0.3">
      <c r="I5687" s="72">
        <v>2842.5</v>
      </c>
      <c r="J5687" s="70">
        <v>1</v>
      </c>
    </row>
    <row r="5688" spans="9:10" x14ac:dyDescent="0.3">
      <c r="I5688" s="72">
        <v>2843</v>
      </c>
      <c r="J5688" s="70">
        <v>1</v>
      </c>
    </row>
    <row r="5689" spans="9:10" x14ac:dyDescent="0.3">
      <c r="I5689" s="72">
        <v>2843.5</v>
      </c>
      <c r="J5689" s="70">
        <v>1</v>
      </c>
    </row>
    <row r="5690" spans="9:10" x14ac:dyDescent="0.3">
      <c r="I5690" s="72">
        <v>2844</v>
      </c>
      <c r="J5690" s="70">
        <v>1</v>
      </c>
    </row>
    <row r="5691" spans="9:10" x14ac:dyDescent="0.3">
      <c r="I5691" s="72">
        <v>2844.5</v>
      </c>
      <c r="J5691" s="70">
        <v>1</v>
      </c>
    </row>
    <row r="5692" spans="9:10" x14ac:dyDescent="0.3">
      <c r="I5692" s="72">
        <v>2845</v>
      </c>
      <c r="J5692" s="70">
        <v>1</v>
      </c>
    </row>
    <row r="5693" spans="9:10" x14ac:dyDescent="0.3">
      <c r="I5693" s="72">
        <v>2845.5</v>
      </c>
      <c r="J5693" s="70">
        <v>1</v>
      </c>
    </row>
    <row r="5694" spans="9:10" x14ac:dyDescent="0.3">
      <c r="I5694" s="72">
        <v>2846</v>
      </c>
      <c r="J5694" s="70">
        <v>1</v>
      </c>
    </row>
    <row r="5695" spans="9:10" x14ac:dyDescent="0.3">
      <c r="I5695" s="72">
        <v>2846.5</v>
      </c>
      <c r="J5695" s="70">
        <v>1</v>
      </c>
    </row>
    <row r="5696" spans="9:10" x14ac:dyDescent="0.3">
      <c r="I5696" s="72">
        <v>2847</v>
      </c>
      <c r="J5696" s="70">
        <v>1</v>
      </c>
    </row>
    <row r="5697" spans="9:10" x14ac:dyDescent="0.3">
      <c r="I5697" s="72">
        <v>2847.5</v>
      </c>
      <c r="J5697" s="70">
        <v>1</v>
      </c>
    </row>
    <row r="5698" spans="9:10" x14ac:dyDescent="0.3">
      <c r="I5698" s="72">
        <v>2848</v>
      </c>
      <c r="J5698" s="70">
        <v>1</v>
      </c>
    </row>
    <row r="5699" spans="9:10" x14ac:dyDescent="0.3">
      <c r="I5699" s="72">
        <v>2848.5</v>
      </c>
      <c r="J5699" s="70">
        <v>1</v>
      </c>
    </row>
    <row r="5700" spans="9:10" x14ac:dyDescent="0.3">
      <c r="I5700" s="72">
        <v>2849</v>
      </c>
      <c r="J5700" s="70">
        <v>1</v>
      </c>
    </row>
    <row r="5701" spans="9:10" x14ac:dyDescent="0.3">
      <c r="I5701" s="72">
        <v>2849.5</v>
      </c>
      <c r="J5701" s="70">
        <v>1</v>
      </c>
    </row>
    <row r="5702" spans="9:10" x14ac:dyDescent="0.3">
      <c r="I5702" s="72">
        <v>2850</v>
      </c>
      <c r="J5702" s="70">
        <v>1</v>
      </c>
    </row>
    <row r="5703" spans="9:10" x14ac:dyDescent="0.3">
      <c r="I5703" s="72">
        <v>2850.5</v>
      </c>
      <c r="J5703" s="70">
        <v>1</v>
      </c>
    </row>
    <row r="5704" spans="9:10" x14ac:dyDescent="0.3">
      <c r="I5704" s="72">
        <v>2851</v>
      </c>
      <c r="J5704" s="70">
        <v>1</v>
      </c>
    </row>
    <row r="5705" spans="9:10" x14ac:dyDescent="0.3">
      <c r="I5705" s="72">
        <v>2851.5</v>
      </c>
      <c r="J5705" s="70">
        <v>1</v>
      </c>
    </row>
    <row r="5706" spans="9:10" x14ac:dyDescent="0.3">
      <c r="I5706" s="72">
        <v>2852</v>
      </c>
      <c r="J5706" s="70">
        <v>1</v>
      </c>
    </row>
    <row r="5707" spans="9:10" x14ac:dyDescent="0.3">
      <c r="I5707" s="72">
        <v>2852.5</v>
      </c>
      <c r="J5707" s="70">
        <v>1</v>
      </c>
    </row>
    <row r="5708" spans="9:10" x14ac:dyDescent="0.3">
      <c r="I5708" s="72">
        <v>2853</v>
      </c>
      <c r="J5708" s="70">
        <v>1</v>
      </c>
    </row>
    <row r="5709" spans="9:10" x14ac:dyDescent="0.3">
      <c r="I5709" s="72">
        <v>2853.5</v>
      </c>
      <c r="J5709" s="70">
        <v>1</v>
      </c>
    </row>
    <row r="5710" spans="9:10" x14ac:dyDescent="0.3">
      <c r="I5710" s="72">
        <v>2854</v>
      </c>
      <c r="J5710" s="70">
        <v>1</v>
      </c>
    </row>
    <row r="5711" spans="9:10" x14ac:dyDescent="0.3">
      <c r="I5711" s="72">
        <v>2854.5</v>
      </c>
      <c r="J5711" s="70">
        <v>1</v>
      </c>
    </row>
    <row r="5712" spans="9:10" x14ac:dyDescent="0.3">
      <c r="I5712" s="72">
        <v>2855</v>
      </c>
      <c r="J5712" s="70">
        <v>1</v>
      </c>
    </row>
    <row r="5713" spans="9:10" x14ac:dyDescent="0.3">
      <c r="I5713" s="72">
        <v>2855.5</v>
      </c>
      <c r="J5713" s="70">
        <v>1</v>
      </c>
    </row>
    <row r="5714" spans="9:10" x14ac:dyDescent="0.3">
      <c r="I5714" s="72">
        <v>2856</v>
      </c>
      <c r="J5714" s="70">
        <v>1</v>
      </c>
    </row>
    <row r="5715" spans="9:10" x14ac:dyDescent="0.3">
      <c r="I5715" s="72">
        <v>2856.5</v>
      </c>
      <c r="J5715" s="70">
        <v>1</v>
      </c>
    </row>
    <row r="5716" spans="9:10" x14ac:dyDescent="0.3">
      <c r="I5716" s="72">
        <v>2857</v>
      </c>
      <c r="J5716" s="70">
        <v>1</v>
      </c>
    </row>
    <row r="5717" spans="9:10" x14ac:dyDescent="0.3">
      <c r="I5717" s="72">
        <v>2857.5</v>
      </c>
      <c r="J5717" s="70">
        <v>1</v>
      </c>
    </row>
    <row r="5718" spans="9:10" x14ac:dyDescent="0.3">
      <c r="I5718" s="72">
        <v>2858</v>
      </c>
      <c r="J5718" s="70">
        <v>1</v>
      </c>
    </row>
    <row r="5719" spans="9:10" x14ac:dyDescent="0.3">
      <c r="I5719" s="72">
        <v>2858.5</v>
      </c>
      <c r="J5719" s="70">
        <v>1</v>
      </c>
    </row>
    <row r="5720" spans="9:10" x14ac:dyDescent="0.3">
      <c r="I5720" s="72">
        <v>2859</v>
      </c>
      <c r="J5720" s="70">
        <v>1</v>
      </c>
    </row>
    <row r="5721" spans="9:10" x14ac:dyDescent="0.3">
      <c r="I5721" s="72">
        <v>2859.5</v>
      </c>
      <c r="J5721" s="70">
        <v>1</v>
      </c>
    </row>
    <row r="5722" spans="9:10" x14ac:dyDescent="0.3">
      <c r="I5722" s="72">
        <v>2860</v>
      </c>
      <c r="J5722" s="70">
        <v>1</v>
      </c>
    </row>
    <row r="5723" spans="9:10" x14ac:dyDescent="0.3">
      <c r="I5723" s="72">
        <v>2860.5</v>
      </c>
      <c r="J5723" s="70">
        <v>1</v>
      </c>
    </row>
    <row r="5724" spans="9:10" x14ac:dyDescent="0.3">
      <c r="I5724" s="72">
        <v>2861</v>
      </c>
      <c r="J5724" s="70">
        <v>1</v>
      </c>
    </row>
    <row r="5725" spans="9:10" x14ac:dyDescent="0.3">
      <c r="I5725" s="72">
        <v>2861.5</v>
      </c>
      <c r="J5725" s="70">
        <v>1</v>
      </c>
    </row>
    <row r="5726" spans="9:10" x14ac:dyDescent="0.3">
      <c r="I5726" s="72">
        <v>2862</v>
      </c>
      <c r="J5726" s="70">
        <v>1</v>
      </c>
    </row>
    <row r="5727" spans="9:10" x14ac:dyDescent="0.3">
      <c r="I5727" s="72">
        <v>2862.5</v>
      </c>
      <c r="J5727" s="70">
        <v>1</v>
      </c>
    </row>
    <row r="5728" spans="9:10" x14ac:dyDescent="0.3">
      <c r="I5728" s="72">
        <v>2863</v>
      </c>
      <c r="J5728" s="70">
        <v>1</v>
      </c>
    </row>
    <row r="5729" spans="9:10" x14ac:dyDescent="0.3">
      <c r="I5729" s="72">
        <v>2863.5</v>
      </c>
      <c r="J5729" s="70">
        <v>1</v>
      </c>
    </row>
    <row r="5730" spans="9:10" x14ac:dyDescent="0.3">
      <c r="I5730" s="72">
        <v>2864</v>
      </c>
      <c r="J5730" s="70">
        <v>1</v>
      </c>
    </row>
    <row r="5731" spans="9:10" x14ac:dyDescent="0.3">
      <c r="I5731" s="72">
        <v>2864.5</v>
      </c>
      <c r="J5731" s="70">
        <v>1</v>
      </c>
    </row>
    <row r="5732" spans="9:10" x14ac:dyDescent="0.3">
      <c r="I5732" s="72">
        <v>2865</v>
      </c>
      <c r="J5732" s="70">
        <v>1</v>
      </c>
    </row>
    <row r="5733" spans="9:10" x14ac:dyDescent="0.3">
      <c r="I5733" s="72">
        <v>2865.5</v>
      </c>
      <c r="J5733" s="70">
        <v>1</v>
      </c>
    </row>
    <row r="5734" spans="9:10" x14ac:dyDescent="0.3">
      <c r="I5734" s="72">
        <v>2866</v>
      </c>
      <c r="J5734" s="70">
        <v>1</v>
      </c>
    </row>
    <row r="5735" spans="9:10" x14ac:dyDescent="0.3">
      <c r="I5735" s="72">
        <v>2866.5</v>
      </c>
      <c r="J5735" s="70">
        <v>1</v>
      </c>
    </row>
    <row r="5736" spans="9:10" x14ac:dyDescent="0.3">
      <c r="I5736" s="72">
        <v>2867</v>
      </c>
      <c r="J5736" s="70">
        <v>1</v>
      </c>
    </row>
    <row r="5737" spans="9:10" x14ac:dyDescent="0.3">
      <c r="I5737" s="72">
        <v>2867.5</v>
      </c>
      <c r="J5737" s="70">
        <v>1</v>
      </c>
    </row>
    <row r="5738" spans="9:10" x14ac:dyDescent="0.3">
      <c r="I5738" s="72">
        <v>2868</v>
      </c>
      <c r="J5738" s="70">
        <v>1</v>
      </c>
    </row>
    <row r="5739" spans="9:10" x14ac:dyDescent="0.3">
      <c r="I5739" s="72">
        <v>2868.5</v>
      </c>
      <c r="J5739" s="70">
        <v>1</v>
      </c>
    </row>
    <row r="5740" spans="9:10" x14ac:dyDescent="0.3">
      <c r="I5740" s="72">
        <v>2869</v>
      </c>
      <c r="J5740" s="70">
        <v>1</v>
      </c>
    </row>
    <row r="5741" spans="9:10" x14ac:dyDescent="0.3">
      <c r="I5741" s="72">
        <v>2869.5</v>
      </c>
      <c r="J5741" s="70">
        <v>1</v>
      </c>
    </row>
    <row r="5742" spans="9:10" x14ac:dyDescent="0.3">
      <c r="I5742" s="72">
        <v>2870</v>
      </c>
      <c r="J5742" s="70">
        <v>1</v>
      </c>
    </row>
    <row r="5743" spans="9:10" x14ac:dyDescent="0.3">
      <c r="I5743" s="72">
        <v>2870.5</v>
      </c>
      <c r="J5743" s="70">
        <v>1</v>
      </c>
    </row>
    <row r="5744" spans="9:10" x14ac:dyDescent="0.3">
      <c r="I5744" s="72">
        <v>2871</v>
      </c>
      <c r="J5744" s="70">
        <v>1</v>
      </c>
    </row>
    <row r="5745" spans="9:10" x14ac:dyDescent="0.3">
      <c r="I5745" s="72">
        <v>2871.5</v>
      </c>
      <c r="J5745" s="70">
        <v>1</v>
      </c>
    </row>
    <row r="5746" spans="9:10" x14ac:dyDescent="0.3">
      <c r="I5746" s="72">
        <v>2872</v>
      </c>
      <c r="J5746" s="70">
        <v>1</v>
      </c>
    </row>
    <row r="5747" spans="9:10" x14ac:dyDescent="0.3">
      <c r="I5747" s="72">
        <v>2872.5</v>
      </c>
      <c r="J5747" s="70">
        <v>1</v>
      </c>
    </row>
    <row r="5748" spans="9:10" x14ac:dyDescent="0.3">
      <c r="I5748" s="72">
        <v>2873</v>
      </c>
      <c r="J5748" s="70">
        <v>1</v>
      </c>
    </row>
    <row r="5749" spans="9:10" x14ac:dyDescent="0.3">
      <c r="I5749" s="72">
        <v>2873.5</v>
      </c>
      <c r="J5749" s="70">
        <v>1</v>
      </c>
    </row>
    <row r="5750" spans="9:10" x14ac:dyDescent="0.3">
      <c r="I5750" s="72">
        <v>2874</v>
      </c>
      <c r="J5750" s="70">
        <v>1</v>
      </c>
    </row>
    <row r="5751" spans="9:10" x14ac:dyDescent="0.3">
      <c r="I5751" s="72">
        <v>2874.5</v>
      </c>
      <c r="J5751" s="70">
        <v>1</v>
      </c>
    </row>
    <row r="5752" spans="9:10" x14ac:dyDescent="0.3">
      <c r="I5752" s="72">
        <v>2875</v>
      </c>
      <c r="J5752" s="70">
        <v>1</v>
      </c>
    </row>
    <row r="5753" spans="9:10" x14ac:dyDescent="0.3">
      <c r="I5753" s="72">
        <v>2875.5</v>
      </c>
      <c r="J5753" s="70">
        <v>1</v>
      </c>
    </row>
    <row r="5754" spans="9:10" x14ac:dyDescent="0.3">
      <c r="I5754" s="72">
        <v>2876</v>
      </c>
      <c r="J5754" s="70">
        <v>1</v>
      </c>
    </row>
    <row r="5755" spans="9:10" x14ac:dyDescent="0.3">
      <c r="I5755" s="72">
        <v>2876.5</v>
      </c>
      <c r="J5755" s="70">
        <v>1</v>
      </c>
    </row>
    <row r="5756" spans="9:10" x14ac:dyDescent="0.3">
      <c r="I5756" s="72">
        <v>2877</v>
      </c>
      <c r="J5756" s="70">
        <v>1</v>
      </c>
    </row>
    <row r="5757" spans="9:10" x14ac:dyDescent="0.3">
      <c r="I5757" s="72">
        <v>2877.5</v>
      </c>
      <c r="J5757" s="70">
        <v>1</v>
      </c>
    </row>
    <row r="5758" spans="9:10" x14ac:dyDescent="0.3">
      <c r="I5758" s="72">
        <v>2878</v>
      </c>
      <c r="J5758" s="70">
        <v>1</v>
      </c>
    </row>
    <row r="5759" spans="9:10" x14ac:dyDescent="0.3">
      <c r="I5759" s="72">
        <v>2878.5</v>
      </c>
      <c r="J5759" s="70">
        <v>1</v>
      </c>
    </row>
    <row r="5760" spans="9:10" x14ac:dyDescent="0.3">
      <c r="I5760" s="72">
        <v>2879</v>
      </c>
      <c r="J5760" s="70">
        <v>1</v>
      </c>
    </row>
    <row r="5761" spans="9:10" x14ac:dyDescent="0.3">
      <c r="I5761" s="72">
        <v>2879.5</v>
      </c>
      <c r="J5761" s="70">
        <v>1</v>
      </c>
    </row>
    <row r="5762" spans="9:10" x14ac:dyDescent="0.3">
      <c r="I5762" s="72">
        <v>2880</v>
      </c>
      <c r="J5762" s="70">
        <v>1</v>
      </c>
    </row>
    <row r="5763" spans="9:10" x14ac:dyDescent="0.3">
      <c r="I5763" s="72">
        <v>2880.5</v>
      </c>
      <c r="J5763" s="70">
        <v>1</v>
      </c>
    </row>
    <row r="5764" spans="9:10" x14ac:dyDescent="0.3">
      <c r="I5764" s="72">
        <v>2881</v>
      </c>
      <c r="J5764" s="70">
        <v>1</v>
      </c>
    </row>
    <row r="5765" spans="9:10" x14ac:dyDescent="0.3">
      <c r="I5765" s="72">
        <v>2881.5</v>
      </c>
      <c r="J5765" s="70">
        <v>1</v>
      </c>
    </row>
    <row r="5766" spans="9:10" x14ac:dyDescent="0.3">
      <c r="I5766" s="72">
        <v>2882</v>
      </c>
      <c r="J5766" s="70">
        <v>1</v>
      </c>
    </row>
    <row r="5767" spans="9:10" x14ac:dyDescent="0.3">
      <c r="I5767" s="72">
        <v>2882.5</v>
      </c>
      <c r="J5767" s="70">
        <v>1</v>
      </c>
    </row>
    <row r="5768" spans="9:10" x14ac:dyDescent="0.3">
      <c r="I5768" s="72">
        <v>2883</v>
      </c>
      <c r="J5768" s="70">
        <v>1</v>
      </c>
    </row>
    <row r="5769" spans="9:10" x14ac:dyDescent="0.3">
      <c r="I5769" s="72">
        <v>2883.5</v>
      </c>
      <c r="J5769" s="70">
        <v>1</v>
      </c>
    </row>
    <row r="5770" spans="9:10" x14ac:dyDescent="0.3">
      <c r="I5770" s="72">
        <v>2884</v>
      </c>
      <c r="J5770" s="70">
        <v>1</v>
      </c>
    </row>
    <row r="5771" spans="9:10" x14ac:dyDescent="0.3">
      <c r="I5771" s="72">
        <v>2884.5</v>
      </c>
      <c r="J5771" s="70">
        <v>1</v>
      </c>
    </row>
    <row r="5772" spans="9:10" x14ac:dyDescent="0.3">
      <c r="I5772" s="72">
        <v>2885</v>
      </c>
      <c r="J5772" s="70">
        <v>1</v>
      </c>
    </row>
    <row r="5773" spans="9:10" x14ac:dyDescent="0.3">
      <c r="I5773" s="72">
        <v>2885.5</v>
      </c>
      <c r="J5773" s="70">
        <v>1</v>
      </c>
    </row>
    <row r="5774" spans="9:10" x14ac:dyDescent="0.3">
      <c r="I5774" s="72">
        <v>2886</v>
      </c>
      <c r="J5774" s="70">
        <v>1</v>
      </c>
    </row>
    <row r="5775" spans="9:10" x14ac:dyDescent="0.3">
      <c r="I5775" s="72">
        <v>2886.5</v>
      </c>
      <c r="J5775" s="70">
        <v>1</v>
      </c>
    </row>
    <row r="5776" spans="9:10" x14ac:dyDescent="0.3">
      <c r="I5776" s="72">
        <v>2887</v>
      </c>
      <c r="J5776" s="70">
        <v>1</v>
      </c>
    </row>
    <row r="5777" spans="9:10" x14ac:dyDescent="0.3">
      <c r="I5777" s="72">
        <v>2887.5</v>
      </c>
      <c r="J5777" s="70">
        <v>1</v>
      </c>
    </row>
    <row r="5778" spans="9:10" x14ac:dyDescent="0.3">
      <c r="I5778" s="72">
        <v>2888</v>
      </c>
      <c r="J5778" s="70">
        <v>1</v>
      </c>
    </row>
    <row r="5779" spans="9:10" x14ac:dyDescent="0.3">
      <c r="I5779" s="72">
        <v>2888.5</v>
      </c>
      <c r="J5779" s="70">
        <v>1</v>
      </c>
    </row>
    <row r="5780" spans="9:10" x14ac:dyDescent="0.3">
      <c r="I5780" s="72">
        <v>2889</v>
      </c>
      <c r="J5780" s="70">
        <v>1</v>
      </c>
    </row>
    <row r="5781" spans="9:10" x14ac:dyDescent="0.3">
      <c r="I5781" s="72">
        <v>2889.5</v>
      </c>
      <c r="J5781" s="70">
        <v>1</v>
      </c>
    </row>
    <row r="5782" spans="9:10" x14ac:dyDescent="0.3">
      <c r="I5782" s="72">
        <v>2890</v>
      </c>
      <c r="J5782" s="70">
        <v>1</v>
      </c>
    </row>
    <row r="5783" spans="9:10" x14ac:dyDescent="0.3">
      <c r="I5783" s="72">
        <v>2890.5</v>
      </c>
      <c r="J5783" s="70">
        <v>1</v>
      </c>
    </row>
    <row r="5784" spans="9:10" x14ac:dyDescent="0.3">
      <c r="I5784" s="72">
        <v>2891</v>
      </c>
      <c r="J5784" s="70">
        <v>1</v>
      </c>
    </row>
    <row r="5785" spans="9:10" x14ac:dyDescent="0.3">
      <c r="I5785" s="72">
        <v>2891.5</v>
      </c>
      <c r="J5785" s="70">
        <v>1</v>
      </c>
    </row>
    <row r="5786" spans="9:10" x14ac:dyDescent="0.3">
      <c r="I5786" s="72">
        <v>2892</v>
      </c>
      <c r="J5786" s="70">
        <v>1</v>
      </c>
    </row>
    <row r="5787" spans="9:10" x14ac:dyDescent="0.3">
      <c r="I5787" s="72">
        <v>2892.5</v>
      </c>
      <c r="J5787" s="70">
        <v>1</v>
      </c>
    </row>
    <row r="5788" spans="9:10" x14ac:dyDescent="0.3">
      <c r="I5788" s="72">
        <v>2893</v>
      </c>
      <c r="J5788" s="70">
        <v>1</v>
      </c>
    </row>
    <row r="5789" spans="9:10" x14ac:dyDescent="0.3">
      <c r="I5789" s="72">
        <v>2893.5</v>
      </c>
      <c r="J5789" s="70">
        <v>1</v>
      </c>
    </row>
    <row r="5790" spans="9:10" x14ac:dyDescent="0.3">
      <c r="I5790" s="72">
        <v>2894</v>
      </c>
      <c r="J5790" s="70">
        <v>1</v>
      </c>
    </row>
    <row r="5791" spans="9:10" x14ac:dyDescent="0.3">
      <c r="I5791" s="72">
        <v>2894.5</v>
      </c>
      <c r="J5791" s="70">
        <v>1</v>
      </c>
    </row>
    <row r="5792" spans="9:10" x14ac:dyDescent="0.3">
      <c r="I5792" s="72">
        <v>2895</v>
      </c>
      <c r="J5792" s="70">
        <v>1</v>
      </c>
    </row>
    <row r="5793" spans="9:10" x14ac:dyDescent="0.3">
      <c r="I5793" s="72">
        <v>2895.5</v>
      </c>
      <c r="J5793" s="70">
        <v>1</v>
      </c>
    </row>
    <row r="5794" spans="9:10" x14ac:dyDescent="0.3">
      <c r="I5794" s="72">
        <v>2896</v>
      </c>
      <c r="J5794" s="70">
        <v>1</v>
      </c>
    </row>
    <row r="5795" spans="9:10" x14ac:dyDescent="0.3">
      <c r="I5795" s="72">
        <v>2896.5</v>
      </c>
      <c r="J5795" s="70">
        <v>1</v>
      </c>
    </row>
    <row r="5796" spans="9:10" x14ac:dyDescent="0.3">
      <c r="I5796" s="72">
        <v>2897</v>
      </c>
      <c r="J5796" s="70">
        <v>1</v>
      </c>
    </row>
    <row r="5797" spans="9:10" x14ac:dyDescent="0.3">
      <c r="I5797" s="72">
        <v>2897.5</v>
      </c>
      <c r="J5797" s="70">
        <v>1</v>
      </c>
    </row>
    <row r="5798" spans="9:10" x14ac:dyDescent="0.3">
      <c r="I5798" s="72">
        <v>2898</v>
      </c>
      <c r="J5798" s="70">
        <v>1</v>
      </c>
    </row>
    <row r="5799" spans="9:10" x14ac:dyDescent="0.3">
      <c r="I5799" s="72">
        <v>2898.5</v>
      </c>
      <c r="J5799" s="70">
        <v>1</v>
      </c>
    </row>
    <row r="5800" spans="9:10" x14ac:dyDescent="0.3">
      <c r="I5800" s="72">
        <v>2899</v>
      </c>
      <c r="J5800" s="70">
        <v>1</v>
      </c>
    </row>
    <row r="5801" spans="9:10" x14ac:dyDescent="0.3">
      <c r="I5801" s="72">
        <v>2899.5</v>
      </c>
      <c r="J5801" s="70">
        <v>1</v>
      </c>
    </row>
    <row r="5802" spans="9:10" x14ac:dyDescent="0.3">
      <c r="I5802" s="72">
        <v>2900</v>
      </c>
      <c r="J5802" s="70">
        <v>1</v>
      </c>
    </row>
    <row r="5803" spans="9:10" x14ac:dyDescent="0.3">
      <c r="I5803" s="72">
        <v>2900.5</v>
      </c>
      <c r="J5803" s="70">
        <v>1</v>
      </c>
    </row>
    <row r="5804" spans="9:10" x14ac:dyDescent="0.3">
      <c r="I5804" s="72">
        <v>2901</v>
      </c>
      <c r="J5804" s="70">
        <v>1</v>
      </c>
    </row>
    <row r="5805" spans="9:10" x14ac:dyDescent="0.3">
      <c r="I5805" s="72">
        <v>2901.5</v>
      </c>
      <c r="J5805" s="70">
        <v>1</v>
      </c>
    </row>
    <row r="5806" spans="9:10" x14ac:dyDescent="0.3">
      <c r="I5806" s="72">
        <v>2902</v>
      </c>
      <c r="J5806" s="70">
        <v>1</v>
      </c>
    </row>
    <row r="5807" spans="9:10" x14ac:dyDescent="0.3">
      <c r="I5807" s="72">
        <v>2902.5</v>
      </c>
      <c r="J5807" s="70">
        <v>1</v>
      </c>
    </row>
    <row r="5808" spans="9:10" x14ac:dyDescent="0.3">
      <c r="I5808" s="72">
        <v>2903</v>
      </c>
      <c r="J5808" s="70">
        <v>1</v>
      </c>
    </row>
    <row r="5809" spans="9:10" x14ac:dyDescent="0.3">
      <c r="I5809" s="72">
        <v>2903.5</v>
      </c>
      <c r="J5809" s="70">
        <v>1</v>
      </c>
    </row>
    <row r="5810" spans="9:10" x14ac:dyDescent="0.3">
      <c r="I5810" s="72">
        <v>2904</v>
      </c>
      <c r="J5810" s="70">
        <v>1</v>
      </c>
    </row>
    <row r="5811" spans="9:10" x14ac:dyDescent="0.3">
      <c r="I5811" s="72">
        <v>2904.5</v>
      </c>
      <c r="J5811" s="70">
        <v>1</v>
      </c>
    </row>
    <row r="5812" spans="9:10" x14ac:dyDescent="0.3">
      <c r="I5812" s="72">
        <v>2905</v>
      </c>
      <c r="J5812" s="70">
        <v>1</v>
      </c>
    </row>
    <row r="5813" spans="9:10" x14ac:dyDescent="0.3">
      <c r="I5813" s="72">
        <v>2905.5</v>
      </c>
      <c r="J5813" s="70">
        <v>1</v>
      </c>
    </row>
    <row r="5814" spans="9:10" x14ac:dyDescent="0.3">
      <c r="I5814" s="72">
        <v>2906</v>
      </c>
      <c r="J5814" s="70">
        <v>1</v>
      </c>
    </row>
    <row r="5815" spans="9:10" x14ac:dyDescent="0.3">
      <c r="I5815" s="72">
        <v>2906.5</v>
      </c>
      <c r="J5815" s="70">
        <v>1</v>
      </c>
    </row>
    <row r="5816" spans="9:10" x14ac:dyDescent="0.3">
      <c r="I5816" s="72">
        <v>2907</v>
      </c>
      <c r="J5816" s="70">
        <v>1</v>
      </c>
    </row>
    <row r="5817" spans="9:10" x14ac:dyDescent="0.3">
      <c r="I5817" s="72">
        <v>2907.5</v>
      </c>
      <c r="J5817" s="70">
        <v>1</v>
      </c>
    </row>
    <row r="5818" spans="9:10" x14ac:dyDescent="0.3">
      <c r="I5818" s="72">
        <v>2908</v>
      </c>
      <c r="J5818" s="70">
        <v>1</v>
      </c>
    </row>
    <row r="5819" spans="9:10" x14ac:dyDescent="0.3">
      <c r="I5819" s="72">
        <v>2908.5</v>
      </c>
      <c r="J5819" s="70">
        <v>1</v>
      </c>
    </row>
    <row r="5820" spans="9:10" x14ac:dyDescent="0.3">
      <c r="I5820" s="72">
        <v>2909</v>
      </c>
      <c r="J5820" s="70">
        <v>1</v>
      </c>
    </row>
    <row r="5821" spans="9:10" x14ac:dyDescent="0.3">
      <c r="I5821" s="72">
        <v>2909.5</v>
      </c>
      <c r="J5821" s="70">
        <v>1</v>
      </c>
    </row>
    <row r="5822" spans="9:10" x14ac:dyDescent="0.3">
      <c r="I5822" s="72">
        <v>2910</v>
      </c>
      <c r="J5822" s="70">
        <v>1</v>
      </c>
    </row>
    <row r="5823" spans="9:10" x14ac:dyDescent="0.3">
      <c r="I5823" s="72">
        <v>2910.5</v>
      </c>
      <c r="J5823" s="70">
        <v>1</v>
      </c>
    </row>
    <row r="5824" spans="9:10" x14ac:dyDescent="0.3">
      <c r="I5824" s="72">
        <v>2911</v>
      </c>
      <c r="J5824" s="70">
        <v>1</v>
      </c>
    </row>
    <row r="5825" spans="9:10" x14ac:dyDescent="0.3">
      <c r="I5825" s="72">
        <v>2911.5</v>
      </c>
      <c r="J5825" s="70">
        <v>1</v>
      </c>
    </row>
    <row r="5826" spans="9:10" x14ac:dyDescent="0.3">
      <c r="I5826" s="72">
        <v>2912</v>
      </c>
      <c r="J5826" s="70">
        <v>1</v>
      </c>
    </row>
    <row r="5827" spans="9:10" x14ac:dyDescent="0.3">
      <c r="I5827" s="72">
        <v>2912.5</v>
      </c>
      <c r="J5827" s="70">
        <v>1</v>
      </c>
    </row>
    <row r="5828" spans="9:10" x14ac:dyDescent="0.3">
      <c r="I5828" s="72">
        <v>2913</v>
      </c>
      <c r="J5828" s="70">
        <v>1</v>
      </c>
    </row>
    <row r="5829" spans="9:10" x14ac:dyDescent="0.3">
      <c r="I5829" s="72">
        <v>2913.5</v>
      </c>
      <c r="J5829" s="70">
        <v>1</v>
      </c>
    </row>
    <row r="5830" spans="9:10" x14ac:dyDescent="0.3">
      <c r="I5830" s="72">
        <v>2914</v>
      </c>
      <c r="J5830" s="70">
        <v>1</v>
      </c>
    </row>
    <row r="5831" spans="9:10" x14ac:dyDescent="0.3">
      <c r="I5831" s="72">
        <v>2914.5</v>
      </c>
      <c r="J5831" s="70">
        <v>1</v>
      </c>
    </row>
    <row r="5832" spans="9:10" x14ac:dyDescent="0.3">
      <c r="I5832" s="72">
        <v>2915</v>
      </c>
      <c r="J5832" s="70">
        <v>1</v>
      </c>
    </row>
    <row r="5833" spans="9:10" x14ac:dyDescent="0.3">
      <c r="I5833" s="72">
        <v>2915.5</v>
      </c>
      <c r="J5833" s="70">
        <v>1</v>
      </c>
    </row>
    <row r="5834" spans="9:10" x14ac:dyDescent="0.3">
      <c r="I5834" s="72">
        <v>2916</v>
      </c>
      <c r="J5834" s="70">
        <v>1</v>
      </c>
    </row>
    <row r="5835" spans="9:10" x14ac:dyDescent="0.3">
      <c r="I5835" s="72">
        <v>2916.5</v>
      </c>
      <c r="J5835" s="70">
        <v>1</v>
      </c>
    </row>
    <row r="5836" spans="9:10" x14ac:dyDescent="0.3">
      <c r="I5836" s="72">
        <v>2917</v>
      </c>
      <c r="J5836" s="70">
        <v>1</v>
      </c>
    </row>
    <row r="5837" spans="9:10" x14ac:dyDescent="0.3">
      <c r="I5837" s="72">
        <v>2917.5</v>
      </c>
      <c r="J5837" s="70">
        <v>1</v>
      </c>
    </row>
    <row r="5838" spans="9:10" x14ac:dyDescent="0.3">
      <c r="I5838" s="72">
        <v>2918</v>
      </c>
      <c r="J5838" s="70">
        <v>1</v>
      </c>
    </row>
    <row r="5839" spans="9:10" x14ac:dyDescent="0.3">
      <c r="I5839" s="72">
        <v>2918.5</v>
      </c>
      <c r="J5839" s="70">
        <v>1</v>
      </c>
    </row>
    <row r="5840" spans="9:10" x14ac:dyDescent="0.3">
      <c r="I5840" s="72">
        <v>2919</v>
      </c>
      <c r="J5840" s="70">
        <v>1</v>
      </c>
    </row>
    <row r="5841" spans="9:10" x14ac:dyDescent="0.3">
      <c r="I5841" s="72">
        <v>2919.5</v>
      </c>
      <c r="J5841" s="70">
        <v>1</v>
      </c>
    </row>
    <row r="5842" spans="9:10" x14ac:dyDescent="0.3">
      <c r="I5842" s="72">
        <v>2920</v>
      </c>
      <c r="J5842" s="70">
        <v>1</v>
      </c>
    </row>
    <row r="5843" spans="9:10" x14ac:dyDescent="0.3">
      <c r="I5843" s="72">
        <v>2920.5</v>
      </c>
      <c r="J5843" s="70">
        <v>1</v>
      </c>
    </row>
    <row r="5844" spans="9:10" x14ac:dyDescent="0.3">
      <c r="I5844" s="72">
        <v>2921</v>
      </c>
      <c r="J5844" s="70">
        <v>1</v>
      </c>
    </row>
    <row r="5845" spans="9:10" x14ac:dyDescent="0.3">
      <c r="I5845" s="72">
        <v>2921.5</v>
      </c>
      <c r="J5845" s="70">
        <v>1</v>
      </c>
    </row>
    <row r="5846" spans="9:10" x14ac:dyDescent="0.3">
      <c r="I5846" s="72">
        <v>2922</v>
      </c>
      <c r="J5846" s="70">
        <v>1</v>
      </c>
    </row>
    <row r="5847" spans="9:10" x14ac:dyDescent="0.3">
      <c r="I5847" s="72">
        <v>2922.5</v>
      </c>
      <c r="J5847" s="70">
        <v>1</v>
      </c>
    </row>
    <row r="5848" spans="9:10" x14ac:dyDescent="0.3">
      <c r="I5848" s="72">
        <v>2923</v>
      </c>
      <c r="J5848" s="70">
        <v>1</v>
      </c>
    </row>
    <row r="5849" spans="9:10" x14ac:dyDescent="0.3">
      <c r="I5849" s="72">
        <v>2923.5</v>
      </c>
      <c r="J5849" s="70">
        <v>1</v>
      </c>
    </row>
    <row r="5850" spans="9:10" x14ac:dyDescent="0.3">
      <c r="I5850" s="72">
        <v>2924</v>
      </c>
      <c r="J5850" s="70">
        <v>1</v>
      </c>
    </row>
    <row r="5851" spans="9:10" x14ac:dyDescent="0.3">
      <c r="I5851" s="72">
        <v>2924.5</v>
      </c>
      <c r="J5851" s="70">
        <v>1</v>
      </c>
    </row>
    <row r="5852" spans="9:10" x14ac:dyDescent="0.3">
      <c r="I5852" s="72">
        <v>2925</v>
      </c>
      <c r="J5852" s="70">
        <v>1</v>
      </c>
    </row>
    <row r="5853" spans="9:10" x14ac:dyDescent="0.3">
      <c r="I5853" s="72">
        <v>2925.5</v>
      </c>
      <c r="J5853" s="70">
        <v>1</v>
      </c>
    </row>
    <row r="5854" spans="9:10" x14ac:dyDescent="0.3">
      <c r="I5854" s="72">
        <v>2926</v>
      </c>
      <c r="J5854" s="70">
        <v>1</v>
      </c>
    </row>
    <row r="5855" spans="9:10" x14ac:dyDescent="0.3">
      <c r="I5855" s="72">
        <v>2926.5</v>
      </c>
      <c r="J5855" s="70">
        <v>1</v>
      </c>
    </row>
    <row r="5856" spans="9:10" x14ac:dyDescent="0.3">
      <c r="I5856" s="72">
        <v>2927</v>
      </c>
      <c r="J5856" s="70">
        <v>1</v>
      </c>
    </row>
    <row r="5857" spans="9:10" x14ac:dyDescent="0.3">
      <c r="I5857" s="72">
        <v>2927.5</v>
      </c>
      <c r="J5857" s="70">
        <v>1</v>
      </c>
    </row>
    <row r="5858" spans="9:10" x14ac:dyDescent="0.3">
      <c r="I5858" s="72">
        <v>2928</v>
      </c>
      <c r="J5858" s="70">
        <v>1</v>
      </c>
    </row>
    <row r="5859" spans="9:10" x14ac:dyDescent="0.3">
      <c r="I5859" s="72">
        <v>2928.5</v>
      </c>
      <c r="J5859" s="70">
        <v>1</v>
      </c>
    </row>
    <row r="5860" spans="9:10" x14ac:dyDescent="0.3">
      <c r="I5860" s="72">
        <v>2929</v>
      </c>
      <c r="J5860" s="70">
        <v>1</v>
      </c>
    </row>
    <row r="5861" spans="9:10" x14ac:dyDescent="0.3">
      <c r="I5861" s="72">
        <v>2929.5</v>
      </c>
      <c r="J5861" s="70">
        <v>1</v>
      </c>
    </row>
    <row r="5862" spans="9:10" x14ac:dyDescent="0.3">
      <c r="I5862" s="72">
        <v>2930</v>
      </c>
      <c r="J5862" s="70">
        <v>1</v>
      </c>
    </row>
    <row r="5863" spans="9:10" x14ac:dyDescent="0.3">
      <c r="I5863" s="72">
        <v>2930.5</v>
      </c>
      <c r="J5863" s="70">
        <v>1</v>
      </c>
    </row>
    <row r="5864" spans="9:10" x14ac:dyDescent="0.3">
      <c r="I5864" s="72">
        <v>2931</v>
      </c>
      <c r="J5864" s="70">
        <v>1</v>
      </c>
    </row>
    <row r="5865" spans="9:10" x14ac:dyDescent="0.3">
      <c r="I5865" s="72">
        <v>2931.5</v>
      </c>
      <c r="J5865" s="70">
        <v>1</v>
      </c>
    </row>
    <row r="5866" spans="9:10" x14ac:dyDescent="0.3">
      <c r="I5866" s="72">
        <v>2932</v>
      </c>
      <c r="J5866" s="70">
        <v>1</v>
      </c>
    </row>
    <row r="5867" spans="9:10" x14ac:dyDescent="0.3">
      <c r="I5867" s="72">
        <v>2932.5</v>
      </c>
      <c r="J5867" s="70">
        <v>1</v>
      </c>
    </row>
    <row r="5868" spans="9:10" x14ac:dyDescent="0.3">
      <c r="I5868" s="72">
        <v>2933</v>
      </c>
      <c r="J5868" s="70">
        <v>1</v>
      </c>
    </row>
    <row r="5869" spans="9:10" x14ac:dyDescent="0.3">
      <c r="I5869" s="72">
        <v>2933.5</v>
      </c>
      <c r="J5869" s="70">
        <v>1</v>
      </c>
    </row>
    <row r="5870" spans="9:10" x14ac:dyDescent="0.3">
      <c r="I5870" s="72">
        <v>2934</v>
      </c>
      <c r="J5870" s="70">
        <v>1</v>
      </c>
    </row>
    <row r="5871" spans="9:10" x14ac:dyDescent="0.3">
      <c r="I5871" s="72">
        <v>2934.5</v>
      </c>
      <c r="J5871" s="70">
        <v>1</v>
      </c>
    </row>
    <row r="5872" spans="9:10" x14ac:dyDescent="0.3">
      <c r="I5872" s="72">
        <v>2935</v>
      </c>
      <c r="J5872" s="70">
        <v>1</v>
      </c>
    </row>
    <row r="5873" spans="9:10" x14ac:dyDescent="0.3">
      <c r="I5873" s="72">
        <v>2935.5</v>
      </c>
      <c r="J5873" s="70">
        <v>1</v>
      </c>
    </row>
    <row r="5874" spans="9:10" x14ac:dyDescent="0.3">
      <c r="I5874" s="72">
        <v>2936</v>
      </c>
      <c r="J5874" s="70">
        <v>1</v>
      </c>
    </row>
    <row r="5875" spans="9:10" x14ac:dyDescent="0.3">
      <c r="I5875" s="72">
        <v>2936.5</v>
      </c>
      <c r="J5875" s="70">
        <v>1</v>
      </c>
    </row>
    <row r="5876" spans="9:10" x14ac:dyDescent="0.3">
      <c r="I5876" s="72">
        <v>2937</v>
      </c>
      <c r="J5876" s="70">
        <v>1</v>
      </c>
    </row>
    <row r="5877" spans="9:10" x14ac:dyDescent="0.3">
      <c r="I5877" s="72">
        <v>2937.5</v>
      </c>
      <c r="J5877" s="70">
        <v>1</v>
      </c>
    </row>
    <row r="5878" spans="9:10" x14ac:dyDescent="0.3">
      <c r="I5878" s="72">
        <v>2938</v>
      </c>
      <c r="J5878" s="70">
        <v>1</v>
      </c>
    </row>
    <row r="5879" spans="9:10" x14ac:dyDescent="0.3">
      <c r="I5879" s="72">
        <v>2938.5</v>
      </c>
      <c r="J5879" s="70">
        <v>1</v>
      </c>
    </row>
    <row r="5880" spans="9:10" x14ac:dyDescent="0.3">
      <c r="I5880" s="72">
        <v>2939</v>
      </c>
      <c r="J5880" s="70">
        <v>1</v>
      </c>
    </row>
    <row r="5881" spans="9:10" x14ac:dyDescent="0.3">
      <c r="I5881" s="72">
        <v>2939.5</v>
      </c>
      <c r="J5881" s="70">
        <v>1</v>
      </c>
    </row>
    <row r="5882" spans="9:10" x14ac:dyDescent="0.3">
      <c r="I5882" s="72">
        <v>2940</v>
      </c>
      <c r="J5882" s="70">
        <v>1</v>
      </c>
    </row>
    <row r="5883" spans="9:10" x14ac:dyDescent="0.3">
      <c r="I5883" s="72">
        <v>2940.5</v>
      </c>
      <c r="J5883" s="70">
        <v>1</v>
      </c>
    </row>
    <row r="5884" spans="9:10" x14ac:dyDescent="0.3">
      <c r="I5884" s="72">
        <v>2941</v>
      </c>
      <c r="J5884" s="70">
        <v>1</v>
      </c>
    </row>
    <row r="5885" spans="9:10" x14ac:dyDescent="0.3">
      <c r="I5885" s="72">
        <v>2941.5</v>
      </c>
      <c r="J5885" s="70">
        <v>1</v>
      </c>
    </row>
    <row r="5886" spans="9:10" x14ac:dyDescent="0.3">
      <c r="I5886" s="72">
        <v>2942</v>
      </c>
      <c r="J5886" s="70">
        <v>1</v>
      </c>
    </row>
    <row r="5887" spans="9:10" x14ac:dyDescent="0.3">
      <c r="I5887" s="72">
        <v>2942.5</v>
      </c>
      <c r="J5887" s="70">
        <v>1</v>
      </c>
    </row>
    <row r="5888" spans="9:10" x14ac:dyDescent="0.3">
      <c r="I5888" s="72">
        <v>2943</v>
      </c>
      <c r="J5888" s="70">
        <v>1</v>
      </c>
    </row>
    <row r="5889" spans="9:10" x14ac:dyDescent="0.3">
      <c r="I5889" s="72">
        <v>2943.5</v>
      </c>
      <c r="J5889" s="70">
        <v>1</v>
      </c>
    </row>
    <row r="5890" spans="9:10" x14ac:dyDescent="0.3">
      <c r="I5890" s="72">
        <v>2944</v>
      </c>
      <c r="J5890" s="70">
        <v>1</v>
      </c>
    </row>
    <row r="5891" spans="9:10" x14ac:dyDescent="0.3">
      <c r="I5891" s="72">
        <v>2944.5</v>
      </c>
      <c r="J5891" s="70">
        <v>1</v>
      </c>
    </row>
    <row r="5892" spans="9:10" x14ac:dyDescent="0.3">
      <c r="I5892" s="72">
        <v>2945</v>
      </c>
      <c r="J5892" s="70">
        <v>1</v>
      </c>
    </row>
    <row r="5893" spans="9:10" x14ac:dyDescent="0.3">
      <c r="I5893" s="72">
        <v>2945.5</v>
      </c>
      <c r="J5893" s="70">
        <v>1</v>
      </c>
    </row>
    <row r="5894" spans="9:10" x14ac:dyDescent="0.3">
      <c r="I5894" s="72">
        <v>2946</v>
      </c>
      <c r="J5894" s="70">
        <v>1</v>
      </c>
    </row>
    <row r="5895" spans="9:10" x14ac:dyDescent="0.3">
      <c r="I5895" s="72">
        <v>2946.5</v>
      </c>
      <c r="J5895" s="70">
        <v>1</v>
      </c>
    </row>
    <row r="5896" spans="9:10" x14ac:dyDescent="0.3">
      <c r="I5896" s="72">
        <v>2947</v>
      </c>
      <c r="J5896" s="70">
        <v>1</v>
      </c>
    </row>
    <row r="5897" spans="9:10" x14ac:dyDescent="0.3">
      <c r="I5897" s="72">
        <v>2947.5</v>
      </c>
      <c r="J5897" s="70">
        <v>1</v>
      </c>
    </row>
    <row r="5898" spans="9:10" x14ac:dyDescent="0.3">
      <c r="I5898" s="72">
        <v>2948</v>
      </c>
      <c r="J5898" s="70">
        <v>1</v>
      </c>
    </row>
    <row r="5899" spans="9:10" x14ac:dyDescent="0.3">
      <c r="I5899" s="72">
        <v>2948.5</v>
      </c>
      <c r="J5899" s="70">
        <v>1</v>
      </c>
    </row>
    <row r="5900" spans="9:10" x14ac:dyDescent="0.3">
      <c r="I5900" s="72">
        <v>2949</v>
      </c>
      <c r="J5900" s="70">
        <v>1</v>
      </c>
    </row>
    <row r="5901" spans="9:10" x14ac:dyDescent="0.3">
      <c r="I5901" s="72">
        <v>2949.5</v>
      </c>
      <c r="J5901" s="70">
        <v>1</v>
      </c>
    </row>
    <row r="5902" spans="9:10" x14ac:dyDescent="0.3">
      <c r="I5902" s="72">
        <v>2950</v>
      </c>
      <c r="J5902" s="70">
        <v>1</v>
      </c>
    </row>
    <row r="5903" spans="9:10" x14ac:dyDescent="0.3">
      <c r="I5903" s="72">
        <v>2950.5</v>
      </c>
      <c r="J5903" s="70">
        <v>1</v>
      </c>
    </row>
    <row r="5904" spans="9:10" x14ac:dyDescent="0.3">
      <c r="I5904" s="72">
        <v>2951</v>
      </c>
      <c r="J5904" s="70">
        <v>1</v>
      </c>
    </row>
    <row r="5905" spans="9:10" x14ac:dyDescent="0.3">
      <c r="I5905" s="72">
        <v>2951.5</v>
      </c>
      <c r="J5905" s="70">
        <v>1</v>
      </c>
    </row>
    <row r="5906" spans="9:10" x14ac:dyDescent="0.3">
      <c r="I5906" s="72">
        <v>2952</v>
      </c>
      <c r="J5906" s="70">
        <v>1</v>
      </c>
    </row>
    <row r="5907" spans="9:10" x14ac:dyDescent="0.3">
      <c r="I5907" s="72">
        <v>2952.5</v>
      </c>
      <c r="J5907" s="70">
        <v>1</v>
      </c>
    </row>
    <row r="5908" spans="9:10" x14ac:dyDescent="0.3">
      <c r="I5908" s="72">
        <v>2953</v>
      </c>
      <c r="J5908" s="70">
        <v>1</v>
      </c>
    </row>
    <row r="5909" spans="9:10" x14ac:dyDescent="0.3">
      <c r="I5909" s="72">
        <v>2953.5</v>
      </c>
      <c r="J5909" s="70">
        <v>1</v>
      </c>
    </row>
    <row r="5910" spans="9:10" x14ac:dyDescent="0.3">
      <c r="I5910" s="72">
        <v>2954</v>
      </c>
      <c r="J5910" s="70">
        <v>1</v>
      </c>
    </row>
    <row r="5911" spans="9:10" x14ac:dyDescent="0.3">
      <c r="I5911" s="72">
        <v>2954.5</v>
      </c>
      <c r="J5911" s="70">
        <v>1</v>
      </c>
    </row>
    <row r="5912" spans="9:10" x14ac:dyDescent="0.3">
      <c r="I5912" s="72">
        <v>2955</v>
      </c>
      <c r="J5912" s="70">
        <v>1</v>
      </c>
    </row>
    <row r="5913" spans="9:10" x14ac:dyDescent="0.3">
      <c r="I5913" s="72">
        <v>2955.5</v>
      </c>
      <c r="J5913" s="70">
        <v>1</v>
      </c>
    </row>
    <row r="5914" spans="9:10" x14ac:dyDescent="0.3">
      <c r="I5914" s="72">
        <v>2956</v>
      </c>
      <c r="J5914" s="70">
        <v>1</v>
      </c>
    </row>
    <row r="5915" spans="9:10" x14ac:dyDescent="0.3">
      <c r="I5915" s="72">
        <v>2956.5</v>
      </c>
      <c r="J5915" s="70">
        <v>1</v>
      </c>
    </row>
    <row r="5916" spans="9:10" x14ac:dyDescent="0.3">
      <c r="I5916" s="72">
        <v>2957</v>
      </c>
      <c r="J5916" s="70">
        <v>1</v>
      </c>
    </row>
    <row r="5917" spans="9:10" x14ac:dyDescent="0.3">
      <c r="I5917" s="72">
        <v>2957.5</v>
      </c>
      <c r="J5917" s="70">
        <v>1</v>
      </c>
    </row>
    <row r="5918" spans="9:10" x14ac:dyDescent="0.3">
      <c r="I5918" s="72">
        <v>2958</v>
      </c>
      <c r="J5918" s="70">
        <v>1</v>
      </c>
    </row>
    <row r="5919" spans="9:10" x14ac:dyDescent="0.3">
      <c r="I5919" s="72">
        <v>2958.5</v>
      </c>
      <c r="J5919" s="70">
        <v>1</v>
      </c>
    </row>
    <row r="5920" spans="9:10" x14ac:dyDescent="0.3">
      <c r="I5920" s="72">
        <v>2959</v>
      </c>
      <c r="J5920" s="70">
        <v>1</v>
      </c>
    </row>
    <row r="5921" spans="9:10" x14ac:dyDescent="0.3">
      <c r="I5921" s="72">
        <v>2959.5</v>
      </c>
      <c r="J5921" s="70">
        <v>1</v>
      </c>
    </row>
    <row r="5922" spans="9:10" x14ac:dyDescent="0.3">
      <c r="I5922" s="72">
        <v>2960</v>
      </c>
      <c r="J5922" s="70">
        <v>1</v>
      </c>
    </row>
    <row r="5923" spans="9:10" x14ac:dyDescent="0.3">
      <c r="I5923" s="72">
        <v>2960.5</v>
      </c>
      <c r="J5923" s="70">
        <v>1</v>
      </c>
    </row>
    <row r="5924" spans="9:10" x14ac:dyDescent="0.3">
      <c r="I5924" s="72">
        <v>2961</v>
      </c>
      <c r="J5924" s="70">
        <v>1</v>
      </c>
    </row>
    <row r="5925" spans="9:10" x14ac:dyDescent="0.3">
      <c r="I5925" s="72">
        <v>2961.5</v>
      </c>
      <c r="J5925" s="70">
        <v>1</v>
      </c>
    </row>
    <row r="5926" spans="9:10" x14ac:dyDescent="0.3">
      <c r="I5926" s="72">
        <v>2962</v>
      </c>
      <c r="J5926" s="70">
        <v>1</v>
      </c>
    </row>
    <row r="5927" spans="9:10" x14ac:dyDescent="0.3">
      <c r="I5927" s="72">
        <v>2962.5</v>
      </c>
      <c r="J5927" s="70">
        <v>1</v>
      </c>
    </row>
    <row r="5928" spans="9:10" x14ac:dyDescent="0.3">
      <c r="I5928" s="72">
        <v>2963</v>
      </c>
      <c r="J5928" s="70">
        <v>1</v>
      </c>
    </row>
    <row r="5929" spans="9:10" x14ac:dyDescent="0.3">
      <c r="I5929" s="72">
        <v>2963.5</v>
      </c>
      <c r="J5929" s="70">
        <v>1</v>
      </c>
    </row>
    <row r="5930" spans="9:10" x14ac:dyDescent="0.3">
      <c r="I5930" s="72">
        <v>2964</v>
      </c>
      <c r="J5930" s="70">
        <v>1</v>
      </c>
    </row>
    <row r="5931" spans="9:10" x14ac:dyDescent="0.3">
      <c r="I5931" s="72">
        <v>2964.5</v>
      </c>
      <c r="J5931" s="70">
        <v>1</v>
      </c>
    </row>
    <row r="5932" spans="9:10" x14ac:dyDescent="0.3">
      <c r="I5932" s="72">
        <v>2965</v>
      </c>
      <c r="J5932" s="70">
        <v>1</v>
      </c>
    </row>
    <row r="5933" spans="9:10" x14ac:dyDescent="0.3">
      <c r="I5933" s="72">
        <v>2965.5</v>
      </c>
      <c r="J5933" s="70">
        <v>1</v>
      </c>
    </row>
    <row r="5934" spans="9:10" x14ac:dyDescent="0.3">
      <c r="I5934" s="72">
        <v>2966</v>
      </c>
      <c r="J5934" s="70">
        <v>1</v>
      </c>
    </row>
    <row r="5935" spans="9:10" x14ac:dyDescent="0.3">
      <c r="I5935" s="72">
        <v>2966.5</v>
      </c>
      <c r="J5935" s="70">
        <v>1</v>
      </c>
    </row>
    <row r="5936" spans="9:10" x14ac:dyDescent="0.3">
      <c r="I5936" s="72">
        <v>2967</v>
      </c>
      <c r="J5936" s="70">
        <v>1</v>
      </c>
    </row>
    <row r="5937" spans="9:10" x14ac:dyDescent="0.3">
      <c r="I5937" s="72">
        <v>2967.5</v>
      </c>
      <c r="J5937" s="70">
        <v>1</v>
      </c>
    </row>
    <row r="5938" spans="9:10" x14ac:dyDescent="0.3">
      <c r="I5938" s="72">
        <v>2968</v>
      </c>
      <c r="J5938" s="70">
        <v>1</v>
      </c>
    </row>
    <row r="5939" spans="9:10" x14ac:dyDescent="0.3">
      <c r="I5939" s="72">
        <v>2968.5</v>
      </c>
      <c r="J5939" s="70">
        <v>1</v>
      </c>
    </row>
    <row r="5940" spans="9:10" x14ac:dyDescent="0.3">
      <c r="I5940" s="72">
        <v>2969</v>
      </c>
      <c r="J5940" s="70">
        <v>1</v>
      </c>
    </row>
    <row r="5941" spans="9:10" x14ac:dyDescent="0.3">
      <c r="I5941" s="72">
        <v>2969.5</v>
      </c>
      <c r="J5941" s="70">
        <v>1</v>
      </c>
    </row>
    <row r="5942" spans="9:10" x14ac:dyDescent="0.3">
      <c r="I5942" s="72">
        <v>2970</v>
      </c>
      <c r="J5942" s="70">
        <v>1</v>
      </c>
    </row>
    <row r="5943" spans="9:10" x14ac:dyDescent="0.3">
      <c r="I5943" s="72">
        <v>2970.5</v>
      </c>
      <c r="J5943" s="70">
        <v>1</v>
      </c>
    </row>
    <row r="5944" spans="9:10" x14ac:dyDescent="0.3">
      <c r="I5944" s="72">
        <v>2971</v>
      </c>
      <c r="J5944" s="70">
        <v>1</v>
      </c>
    </row>
    <row r="5945" spans="9:10" x14ac:dyDescent="0.3">
      <c r="I5945" s="72">
        <v>2971.5</v>
      </c>
      <c r="J5945" s="70">
        <v>1</v>
      </c>
    </row>
    <row r="5946" spans="9:10" x14ac:dyDescent="0.3">
      <c r="I5946" s="72">
        <v>2972</v>
      </c>
      <c r="J5946" s="70">
        <v>1</v>
      </c>
    </row>
    <row r="5947" spans="9:10" x14ac:dyDescent="0.3">
      <c r="I5947" s="72">
        <v>2972.5</v>
      </c>
      <c r="J5947" s="70">
        <v>1</v>
      </c>
    </row>
    <row r="5948" spans="9:10" x14ac:dyDescent="0.3">
      <c r="I5948" s="72">
        <v>2973</v>
      </c>
      <c r="J5948" s="70">
        <v>1</v>
      </c>
    </row>
    <row r="5949" spans="9:10" x14ac:dyDescent="0.3">
      <c r="I5949" s="72">
        <v>2973.5</v>
      </c>
      <c r="J5949" s="70">
        <v>1</v>
      </c>
    </row>
    <row r="5950" spans="9:10" x14ac:dyDescent="0.3">
      <c r="I5950" s="72">
        <v>2974</v>
      </c>
      <c r="J5950" s="70">
        <v>1</v>
      </c>
    </row>
    <row r="5951" spans="9:10" x14ac:dyDescent="0.3">
      <c r="I5951" s="72">
        <v>2974.5</v>
      </c>
      <c r="J5951" s="70">
        <v>1</v>
      </c>
    </row>
    <row r="5952" spans="9:10" x14ac:dyDescent="0.3">
      <c r="I5952" s="72">
        <v>2975</v>
      </c>
      <c r="J5952" s="70">
        <v>1</v>
      </c>
    </row>
    <row r="5953" spans="9:10" x14ac:dyDescent="0.3">
      <c r="I5953" s="72">
        <v>2975.5</v>
      </c>
      <c r="J5953" s="70">
        <v>1</v>
      </c>
    </row>
    <row r="5954" spans="9:10" x14ac:dyDescent="0.3">
      <c r="I5954" s="72">
        <v>2976</v>
      </c>
      <c r="J5954" s="70">
        <v>1</v>
      </c>
    </row>
    <row r="5955" spans="9:10" x14ac:dyDescent="0.3">
      <c r="I5955" s="72">
        <v>2976.5</v>
      </c>
      <c r="J5955" s="70">
        <v>1</v>
      </c>
    </row>
    <row r="5956" spans="9:10" x14ac:dyDescent="0.3">
      <c r="I5956" s="72">
        <v>2977</v>
      </c>
      <c r="J5956" s="70">
        <v>1</v>
      </c>
    </row>
    <row r="5957" spans="9:10" x14ac:dyDescent="0.3">
      <c r="I5957" s="72">
        <v>2977.5</v>
      </c>
      <c r="J5957" s="70">
        <v>1</v>
      </c>
    </row>
    <row r="5958" spans="9:10" x14ac:dyDescent="0.3">
      <c r="I5958" s="72">
        <v>2978</v>
      </c>
      <c r="J5958" s="70">
        <v>1</v>
      </c>
    </row>
    <row r="5959" spans="9:10" x14ac:dyDescent="0.3">
      <c r="I5959" s="72">
        <v>2978.5</v>
      </c>
      <c r="J5959" s="70">
        <v>1</v>
      </c>
    </row>
    <row r="5960" spans="9:10" x14ac:dyDescent="0.3">
      <c r="I5960" s="72">
        <v>2979</v>
      </c>
      <c r="J5960" s="70">
        <v>1</v>
      </c>
    </row>
    <row r="5961" spans="9:10" x14ac:dyDescent="0.3">
      <c r="I5961" s="72">
        <v>2979.5</v>
      </c>
      <c r="J5961" s="70">
        <v>1</v>
      </c>
    </row>
    <row r="5962" spans="9:10" x14ac:dyDescent="0.3">
      <c r="I5962" s="72">
        <v>2980</v>
      </c>
      <c r="J5962" s="70">
        <v>1</v>
      </c>
    </row>
    <row r="5963" spans="9:10" x14ac:dyDescent="0.3">
      <c r="I5963" s="72">
        <v>2980.5</v>
      </c>
      <c r="J5963" s="70">
        <v>1</v>
      </c>
    </row>
    <row r="5964" spans="9:10" x14ac:dyDescent="0.3">
      <c r="I5964" s="72">
        <v>2981</v>
      </c>
      <c r="J5964" s="70">
        <v>1</v>
      </c>
    </row>
    <row r="5965" spans="9:10" x14ac:dyDescent="0.3">
      <c r="I5965" s="72">
        <v>2981.5</v>
      </c>
      <c r="J5965" s="70">
        <v>1</v>
      </c>
    </row>
    <row r="5966" spans="9:10" x14ac:dyDescent="0.3">
      <c r="I5966" s="72">
        <v>2982</v>
      </c>
      <c r="J5966" s="70">
        <v>1</v>
      </c>
    </row>
    <row r="5967" spans="9:10" x14ac:dyDescent="0.3">
      <c r="I5967" s="72">
        <v>2982.5</v>
      </c>
      <c r="J5967" s="70">
        <v>1</v>
      </c>
    </row>
    <row r="5968" spans="9:10" x14ac:dyDescent="0.3">
      <c r="I5968" s="72">
        <v>2983</v>
      </c>
      <c r="J5968" s="70">
        <v>1</v>
      </c>
    </row>
    <row r="5969" spans="9:10" x14ac:dyDescent="0.3">
      <c r="I5969" s="72">
        <v>2983.5</v>
      </c>
      <c r="J5969" s="70">
        <v>1</v>
      </c>
    </row>
    <row r="5970" spans="9:10" x14ac:dyDescent="0.3">
      <c r="I5970" s="72">
        <v>2984</v>
      </c>
      <c r="J5970" s="70">
        <v>1</v>
      </c>
    </row>
    <row r="5971" spans="9:10" x14ac:dyDescent="0.3">
      <c r="I5971" s="72">
        <v>2984.5</v>
      </c>
      <c r="J5971" s="70">
        <v>1</v>
      </c>
    </row>
    <row r="5972" spans="9:10" x14ac:dyDescent="0.3">
      <c r="I5972" s="72">
        <v>2985</v>
      </c>
      <c r="J5972" s="70">
        <v>1</v>
      </c>
    </row>
    <row r="5973" spans="9:10" x14ac:dyDescent="0.3">
      <c r="I5973" s="72">
        <v>2985.5</v>
      </c>
      <c r="J5973" s="70">
        <v>1</v>
      </c>
    </row>
    <row r="5974" spans="9:10" x14ac:dyDescent="0.3">
      <c r="I5974" s="72">
        <v>2986</v>
      </c>
      <c r="J5974" s="70">
        <v>1</v>
      </c>
    </row>
    <row r="5975" spans="9:10" x14ac:dyDescent="0.3">
      <c r="I5975" s="72">
        <v>2986.5</v>
      </c>
      <c r="J5975" s="70">
        <v>1</v>
      </c>
    </row>
    <row r="5976" spans="9:10" x14ac:dyDescent="0.3">
      <c r="I5976" s="72">
        <v>2987</v>
      </c>
      <c r="J5976" s="70">
        <v>1</v>
      </c>
    </row>
    <row r="5977" spans="9:10" x14ac:dyDescent="0.3">
      <c r="I5977" s="72">
        <v>2987.5</v>
      </c>
      <c r="J5977" s="70">
        <v>1</v>
      </c>
    </row>
    <row r="5978" spans="9:10" x14ac:dyDescent="0.3">
      <c r="I5978" s="72">
        <v>2988</v>
      </c>
      <c r="J5978" s="70">
        <v>1</v>
      </c>
    </row>
    <row r="5979" spans="9:10" x14ac:dyDescent="0.3">
      <c r="I5979" s="72">
        <v>2988.5</v>
      </c>
      <c r="J5979" s="70">
        <v>1</v>
      </c>
    </row>
    <row r="5980" spans="9:10" x14ac:dyDescent="0.3">
      <c r="I5980" s="72">
        <v>2989</v>
      </c>
      <c r="J5980" s="70">
        <v>1</v>
      </c>
    </row>
    <row r="5981" spans="9:10" x14ac:dyDescent="0.3">
      <c r="I5981" s="72">
        <v>2989.5</v>
      </c>
      <c r="J5981" s="70">
        <v>1</v>
      </c>
    </row>
    <row r="5982" spans="9:10" x14ac:dyDescent="0.3">
      <c r="I5982" s="72">
        <v>2990</v>
      </c>
      <c r="J5982" s="70">
        <v>1</v>
      </c>
    </row>
    <row r="5983" spans="9:10" x14ac:dyDescent="0.3">
      <c r="I5983" s="72">
        <v>2990.5</v>
      </c>
      <c r="J5983" s="70">
        <v>1</v>
      </c>
    </row>
    <row r="5984" spans="9:10" x14ac:dyDescent="0.3">
      <c r="I5984" s="72">
        <v>2991</v>
      </c>
      <c r="J5984" s="70">
        <v>1</v>
      </c>
    </row>
    <row r="5985" spans="9:10" x14ac:dyDescent="0.3">
      <c r="I5985" s="72">
        <v>2991.5</v>
      </c>
      <c r="J5985" s="70">
        <v>1</v>
      </c>
    </row>
    <row r="5986" spans="9:10" x14ac:dyDescent="0.3">
      <c r="I5986" s="72">
        <v>2992</v>
      </c>
      <c r="J5986" s="70">
        <v>1</v>
      </c>
    </row>
    <row r="5987" spans="9:10" x14ac:dyDescent="0.3">
      <c r="I5987" s="72">
        <v>2992.5</v>
      </c>
      <c r="J5987" s="70">
        <v>1</v>
      </c>
    </row>
    <row r="5988" spans="9:10" x14ac:dyDescent="0.3">
      <c r="I5988" s="72">
        <v>2993</v>
      </c>
      <c r="J5988" s="70">
        <v>1</v>
      </c>
    </row>
    <row r="5989" spans="9:10" x14ac:dyDescent="0.3">
      <c r="I5989" s="72">
        <v>2993.5</v>
      </c>
      <c r="J5989" s="70">
        <v>1</v>
      </c>
    </row>
    <row r="5990" spans="9:10" x14ac:dyDescent="0.3">
      <c r="I5990" s="72">
        <v>2994</v>
      </c>
      <c r="J5990" s="70">
        <v>1</v>
      </c>
    </row>
    <row r="5991" spans="9:10" x14ac:dyDescent="0.3">
      <c r="I5991" s="72">
        <v>2994.5</v>
      </c>
      <c r="J5991" s="70">
        <v>1</v>
      </c>
    </row>
    <row r="5992" spans="9:10" x14ac:dyDescent="0.3">
      <c r="I5992" s="72">
        <v>2995</v>
      </c>
      <c r="J5992" s="70">
        <v>1</v>
      </c>
    </row>
    <row r="5993" spans="9:10" x14ac:dyDescent="0.3">
      <c r="I5993" s="72">
        <v>2995.5</v>
      </c>
      <c r="J5993" s="70">
        <v>1</v>
      </c>
    </row>
    <row r="5994" spans="9:10" x14ac:dyDescent="0.3">
      <c r="I5994" s="72">
        <v>2996</v>
      </c>
      <c r="J5994" s="70">
        <v>1</v>
      </c>
    </row>
    <row r="5995" spans="9:10" x14ac:dyDescent="0.3">
      <c r="I5995" s="72">
        <v>2996.5</v>
      </c>
      <c r="J5995" s="70">
        <v>1</v>
      </c>
    </row>
    <row r="5996" spans="9:10" x14ac:dyDescent="0.3">
      <c r="I5996" s="72">
        <v>2997</v>
      </c>
      <c r="J5996" s="70">
        <v>1</v>
      </c>
    </row>
    <row r="5997" spans="9:10" x14ac:dyDescent="0.3">
      <c r="I5997" s="72">
        <v>2997.5</v>
      </c>
      <c r="J5997" s="70">
        <v>1</v>
      </c>
    </row>
    <row r="5998" spans="9:10" x14ac:dyDescent="0.3">
      <c r="I5998" s="72">
        <v>2998</v>
      </c>
      <c r="J5998" s="70">
        <v>1</v>
      </c>
    </row>
    <row r="5999" spans="9:10" x14ac:dyDescent="0.3">
      <c r="I5999" s="72">
        <v>2998.5</v>
      </c>
      <c r="J5999" s="70">
        <v>1</v>
      </c>
    </row>
    <row r="6000" spans="9:10" x14ac:dyDescent="0.3">
      <c r="I6000" s="72">
        <v>2999</v>
      </c>
      <c r="J6000" s="70">
        <v>1</v>
      </c>
    </row>
    <row r="6001" spans="9:10" x14ac:dyDescent="0.3">
      <c r="I6001" s="72">
        <v>2999.5</v>
      </c>
      <c r="J6001" s="70">
        <v>1</v>
      </c>
    </row>
    <row r="6002" spans="9:10" x14ac:dyDescent="0.3">
      <c r="I6002" s="72">
        <v>3000</v>
      </c>
      <c r="J6002" s="70">
        <v>1</v>
      </c>
    </row>
    <row r="6003" spans="9:10" x14ac:dyDescent="0.3">
      <c r="I6003" s="72">
        <v>3000.5</v>
      </c>
      <c r="J6003" s="70">
        <v>1</v>
      </c>
    </row>
    <row r="6004" spans="9:10" x14ac:dyDescent="0.3">
      <c r="I6004" s="72">
        <v>3001</v>
      </c>
      <c r="J6004" s="70">
        <v>1</v>
      </c>
    </row>
    <row r="6005" spans="9:10" x14ac:dyDescent="0.3">
      <c r="I6005" s="72">
        <v>3001.5</v>
      </c>
      <c r="J6005" s="70">
        <v>1</v>
      </c>
    </row>
    <row r="6006" spans="9:10" x14ac:dyDescent="0.3">
      <c r="I6006" s="72">
        <v>3002</v>
      </c>
      <c r="J6006" s="70">
        <v>1</v>
      </c>
    </row>
    <row r="6007" spans="9:10" x14ac:dyDescent="0.3">
      <c r="I6007" s="72">
        <v>3002.5</v>
      </c>
      <c r="J6007" s="70">
        <v>1</v>
      </c>
    </row>
    <row r="6008" spans="9:10" x14ac:dyDescent="0.3">
      <c r="I6008" s="72">
        <v>3003</v>
      </c>
      <c r="J6008" s="70">
        <v>1</v>
      </c>
    </row>
    <row r="6009" spans="9:10" x14ac:dyDescent="0.3">
      <c r="I6009" s="72">
        <v>3003.5</v>
      </c>
      <c r="J6009" s="70">
        <v>1</v>
      </c>
    </row>
    <row r="6010" spans="9:10" x14ac:dyDescent="0.3">
      <c r="I6010" s="72">
        <v>3004</v>
      </c>
      <c r="J6010" s="70">
        <v>1</v>
      </c>
    </row>
    <row r="6011" spans="9:10" x14ac:dyDescent="0.3">
      <c r="I6011" s="72">
        <v>3004.5</v>
      </c>
      <c r="J6011" s="70">
        <v>1</v>
      </c>
    </row>
    <row r="6012" spans="9:10" x14ac:dyDescent="0.3">
      <c r="I6012" s="72">
        <v>3005</v>
      </c>
      <c r="J6012" s="70">
        <v>1</v>
      </c>
    </row>
    <row r="6013" spans="9:10" x14ac:dyDescent="0.3">
      <c r="I6013" s="72">
        <v>3005.5</v>
      </c>
      <c r="J6013" s="70">
        <v>1</v>
      </c>
    </row>
    <row r="6014" spans="9:10" x14ac:dyDescent="0.3">
      <c r="I6014" s="72">
        <v>3006</v>
      </c>
      <c r="J6014" s="70">
        <v>1</v>
      </c>
    </row>
    <row r="6015" spans="9:10" x14ac:dyDescent="0.3">
      <c r="I6015" s="72">
        <v>3006.5</v>
      </c>
      <c r="J6015" s="70">
        <v>1</v>
      </c>
    </row>
    <row r="6016" spans="9:10" x14ac:dyDescent="0.3">
      <c r="I6016" s="72">
        <v>3007</v>
      </c>
      <c r="J6016" s="70">
        <v>1</v>
      </c>
    </row>
    <row r="6017" spans="9:10" x14ac:dyDescent="0.3">
      <c r="I6017" s="72">
        <v>3007.5</v>
      </c>
      <c r="J6017" s="70">
        <v>1</v>
      </c>
    </row>
    <row r="6018" spans="9:10" x14ac:dyDescent="0.3">
      <c r="I6018" s="72">
        <v>3008</v>
      </c>
      <c r="J6018" s="70">
        <v>1</v>
      </c>
    </row>
    <row r="6019" spans="9:10" x14ac:dyDescent="0.3">
      <c r="I6019" s="72">
        <v>3008.5</v>
      </c>
      <c r="J6019" s="70">
        <v>1</v>
      </c>
    </row>
    <row r="6020" spans="9:10" x14ac:dyDescent="0.3">
      <c r="I6020" s="72">
        <v>3009</v>
      </c>
      <c r="J6020" s="70">
        <v>1</v>
      </c>
    </row>
    <row r="6021" spans="9:10" x14ac:dyDescent="0.3">
      <c r="I6021" s="72">
        <v>3009.5</v>
      </c>
      <c r="J6021" s="70">
        <v>1</v>
      </c>
    </row>
    <row r="6022" spans="9:10" x14ac:dyDescent="0.3">
      <c r="I6022" s="72">
        <v>3010</v>
      </c>
      <c r="J6022" s="70">
        <v>1</v>
      </c>
    </row>
    <row r="6023" spans="9:10" x14ac:dyDescent="0.3">
      <c r="I6023" s="72">
        <v>3010.5</v>
      </c>
      <c r="J6023" s="70">
        <v>1</v>
      </c>
    </row>
    <row r="6024" spans="9:10" x14ac:dyDescent="0.3">
      <c r="I6024" s="72">
        <v>3011</v>
      </c>
      <c r="J6024" s="70">
        <v>1</v>
      </c>
    </row>
    <row r="6025" spans="9:10" x14ac:dyDescent="0.3">
      <c r="I6025" s="72">
        <v>3011.5</v>
      </c>
      <c r="J6025" s="70">
        <v>1</v>
      </c>
    </row>
    <row r="6026" spans="9:10" x14ac:dyDescent="0.3">
      <c r="I6026" s="72">
        <v>3012</v>
      </c>
      <c r="J6026" s="70">
        <v>1</v>
      </c>
    </row>
    <row r="6027" spans="9:10" x14ac:dyDescent="0.3">
      <c r="I6027" s="72">
        <v>3012.5</v>
      </c>
      <c r="J6027" s="70">
        <v>1</v>
      </c>
    </row>
    <row r="6028" spans="9:10" x14ac:dyDescent="0.3">
      <c r="I6028" s="72">
        <v>3013</v>
      </c>
      <c r="J6028" s="70">
        <v>1</v>
      </c>
    </row>
    <row r="6029" spans="9:10" x14ac:dyDescent="0.3">
      <c r="I6029" s="72">
        <v>3013.5</v>
      </c>
      <c r="J6029" s="70">
        <v>1</v>
      </c>
    </row>
    <row r="6030" spans="9:10" x14ac:dyDescent="0.3">
      <c r="I6030" s="72">
        <v>3014</v>
      </c>
      <c r="J6030" s="70">
        <v>1</v>
      </c>
    </row>
    <row r="6031" spans="9:10" x14ac:dyDescent="0.3">
      <c r="I6031" s="72">
        <v>3014.5</v>
      </c>
      <c r="J6031" s="70">
        <v>1</v>
      </c>
    </row>
    <row r="6032" spans="9:10" x14ac:dyDescent="0.3">
      <c r="I6032" s="72">
        <v>3015</v>
      </c>
      <c r="J6032" s="70">
        <v>1</v>
      </c>
    </row>
    <row r="6033" spans="9:10" x14ac:dyDescent="0.3">
      <c r="I6033" s="72">
        <v>3015.5</v>
      </c>
      <c r="J6033" s="70">
        <v>1</v>
      </c>
    </row>
    <row r="6034" spans="9:10" x14ac:dyDescent="0.3">
      <c r="I6034" s="72">
        <v>3016</v>
      </c>
      <c r="J6034" s="70">
        <v>1</v>
      </c>
    </row>
    <row r="6035" spans="9:10" x14ac:dyDescent="0.3">
      <c r="I6035" s="72">
        <v>3016.5</v>
      </c>
      <c r="J6035" s="70">
        <v>1</v>
      </c>
    </row>
    <row r="6036" spans="9:10" x14ac:dyDescent="0.3">
      <c r="I6036" s="72">
        <v>3017</v>
      </c>
      <c r="J6036" s="70">
        <v>1</v>
      </c>
    </row>
    <row r="6037" spans="9:10" x14ac:dyDescent="0.3">
      <c r="I6037" s="72">
        <v>3017.5</v>
      </c>
      <c r="J6037" s="70">
        <v>1</v>
      </c>
    </row>
    <row r="6038" spans="9:10" x14ac:dyDescent="0.3">
      <c r="I6038" s="72">
        <v>3018</v>
      </c>
      <c r="J6038" s="70">
        <v>1</v>
      </c>
    </row>
    <row r="6039" spans="9:10" x14ac:dyDescent="0.3">
      <c r="I6039" s="72">
        <v>3018.5</v>
      </c>
      <c r="J6039" s="70">
        <v>1</v>
      </c>
    </row>
    <row r="6040" spans="9:10" x14ac:dyDescent="0.3">
      <c r="I6040" s="72">
        <v>3019</v>
      </c>
      <c r="J6040" s="70">
        <v>1</v>
      </c>
    </row>
    <row r="6041" spans="9:10" x14ac:dyDescent="0.3">
      <c r="I6041" s="72">
        <v>3019.5</v>
      </c>
      <c r="J6041" s="70">
        <v>1</v>
      </c>
    </row>
    <row r="6042" spans="9:10" x14ac:dyDescent="0.3">
      <c r="I6042" s="72">
        <v>3020</v>
      </c>
      <c r="J6042" s="70">
        <v>1</v>
      </c>
    </row>
    <row r="6043" spans="9:10" x14ac:dyDescent="0.3">
      <c r="I6043" s="72">
        <v>3020.5</v>
      </c>
      <c r="J6043" s="70">
        <v>1</v>
      </c>
    </row>
    <row r="6044" spans="9:10" x14ac:dyDescent="0.3">
      <c r="I6044" s="72">
        <v>3021</v>
      </c>
      <c r="J6044" s="70">
        <v>1</v>
      </c>
    </row>
    <row r="6045" spans="9:10" x14ac:dyDescent="0.3">
      <c r="I6045" s="72">
        <v>3021.5</v>
      </c>
      <c r="J6045" s="70">
        <v>1</v>
      </c>
    </row>
    <row r="6046" spans="9:10" x14ac:dyDescent="0.3">
      <c r="I6046" s="72">
        <v>3022</v>
      </c>
      <c r="J6046" s="70">
        <v>1</v>
      </c>
    </row>
    <row r="6047" spans="9:10" x14ac:dyDescent="0.3">
      <c r="I6047" s="72">
        <v>3022.5</v>
      </c>
      <c r="J6047" s="70">
        <v>1</v>
      </c>
    </row>
    <row r="6048" spans="9:10" x14ac:dyDescent="0.3">
      <c r="I6048" s="72">
        <v>3023</v>
      </c>
      <c r="J6048" s="70">
        <v>1</v>
      </c>
    </row>
    <row r="6049" spans="9:10" x14ac:dyDescent="0.3">
      <c r="I6049" s="72">
        <v>3023.5</v>
      </c>
      <c r="J6049" s="70">
        <v>1</v>
      </c>
    </row>
    <row r="6050" spans="9:10" x14ac:dyDescent="0.3">
      <c r="I6050" s="72">
        <v>3024</v>
      </c>
      <c r="J6050" s="70">
        <v>1</v>
      </c>
    </row>
    <row r="6051" spans="9:10" x14ac:dyDescent="0.3">
      <c r="I6051" s="72">
        <v>3024.5</v>
      </c>
      <c r="J6051" s="70">
        <v>1</v>
      </c>
    </row>
    <row r="6052" spans="9:10" x14ac:dyDescent="0.3">
      <c r="I6052" s="72">
        <v>3025</v>
      </c>
      <c r="J6052" s="70">
        <v>1</v>
      </c>
    </row>
    <row r="6053" spans="9:10" x14ac:dyDescent="0.3">
      <c r="I6053" s="72">
        <v>3025.5</v>
      </c>
      <c r="J6053" s="70">
        <v>1</v>
      </c>
    </row>
    <row r="6054" spans="9:10" x14ac:dyDescent="0.3">
      <c r="I6054" s="72">
        <v>3026</v>
      </c>
      <c r="J6054" s="70">
        <v>1</v>
      </c>
    </row>
    <row r="6055" spans="9:10" x14ac:dyDescent="0.3">
      <c r="I6055" s="72">
        <v>3026.5</v>
      </c>
      <c r="J6055" s="70">
        <v>1</v>
      </c>
    </row>
    <row r="6056" spans="9:10" x14ac:dyDescent="0.3">
      <c r="I6056" s="72">
        <v>3027</v>
      </c>
      <c r="J6056" s="70">
        <v>1</v>
      </c>
    </row>
    <row r="6057" spans="9:10" x14ac:dyDescent="0.3">
      <c r="I6057" s="72">
        <v>3027.5</v>
      </c>
      <c r="J6057" s="70">
        <v>1</v>
      </c>
    </row>
    <row r="6058" spans="9:10" x14ac:dyDescent="0.3">
      <c r="I6058" s="72">
        <v>3028</v>
      </c>
      <c r="J6058" s="70">
        <v>1</v>
      </c>
    </row>
    <row r="6059" spans="9:10" x14ac:dyDescent="0.3">
      <c r="I6059" s="72">
        <v>3028.5</v>
      </c>
      <c r="J6059" s="70">
        <v>1</v>
      </c>
    </row>
    <row r="6060" spans="9:10" x14ac:dyDescent="0.3">
      <c r="I6060" s="72">
        <v>3029</v>
      </c>
      <c r="J6060" s="70">
        <v>1</v>
      </c>
    </row>
    <row r="6061" spans="9:10" x14ac:dyDescent="0.3">
      <c r="I6061" s="72">
        <v>3029.5</v>
      </c>
      <c r="J6061" s="70">
        <v>1</v>
      </c>
    </row>
    <row r="6062" spans="9:10" x14ac:dyDescent="0.3">
      <c r="I6062" s="72">
        <v>3030</v>
      </c>
      <c r="J6062" s="70">
        <v>1</v>
      </c>
    </row>
    <row r="6063" spans="9:10" x14ac:dyDescent="0.3">
      <c r="I6063" s="72">
        <v>3030.5</v>
      </c>
      <c r="J6063" s="70">
        <v>1</v>
      </c>
    </row>
    <row r="6064" spans="9:10" x14ac:dyDescent="0.3">
      <c r="I6064" s="72">
        <v>3031</v>
      </c>
      <c r="J6064" s="70">
        <v>1</v>
      </c>
    </row>
    <row r="6065" spans="9:10" x14ac:dyDescent="0.3">
      <c r="I6065" s="72">
        <v>3031.5</v>
      </c>
      <c r="J6065" s="70">
        <v>1</v>
      </c>
    </row>
    <row r="6066" spans="9:10" x14ac:dyDescent="0.3">
      <c r="I6066" s="72">
        <v>3032</v>
      </c>
      <c r="J6066" s="70">
        <v>1</v>
      </c>
    </row>
    <row r="6067" spans="9:10" x14ac:dyDescent="0.3">
      <c r="I6067" s="72">
        <v>3032.5</v>
      </c>
      <c r="J6067" s="70">
        <v>1</v>
      </c>
    </row>
    <row r="6068" spans="9:10" x14ac:dyDescent="0.3">
      <c r="I6068" s="72">
        <v>3033</v>
      </c>
      <c r="J6068" s="70">
        <v>1</v>
      </c>
    </row>
    <row r="6069" spans="9:10" x14ac:dyDescent="0.3">
      <c r="I6069" s="72">
        <v>3033.5</v>
      </c>
      <c r="J6069" s="70">
        <v>1</v>
      </c>
    </row>
    <row r="6070" spans="9:10" x14ac:dyDescent="0.3">
      <c r="I6070" s="72">
        <v>3034</v>
      </c>
      <c r="J6070" s="70">
        <v>1</v>
      </c>
    </row>
    <row r="6071" spans="9:10" x14ac:dyDescent="0.3">
      <c r="I6071" s="72">
        <v>3034.5</v>
      </c>
      <c r="J6071" s="70">
        <v>1</v>
      </c>
    </row>
    <row r="6072" spans="9:10" x14ac:dyDescent="0.3">
      <c r="I6072" s="72">
        <v>3035</v>
      </c>
      <c r="J6072" s="70">
        <v>1</v>
      </c>
    </row>
    <row r="6073" spans="9:10" x14ac:dyDescent="0.3">
      <c r="I6073" s="72">
        <v>3035.5</v>
      </c>
      <c r="J6073" s="70">
        <v>1</v>
      </c>
    </row>
    <row r="6074" spans="9:10" x14ac:dyDescent="0.3">
      <c r="I6074" s="72">
        <v>3036</v>
      </c>
      <c r="J6074" s="70">
        <v>1</v>
      </c>
    </row>
    <row r="6075" spans="9:10" x14ac:dyDescent="0.3">
      <c r="I6075" s="72">
        <v>3036.5</v>
      </c>
      <c r="J6075" s="70">
        <v>1</v>
      </c>
    </row>
    <row r="6076" spans="9:10" x14ac:dyDescent="0.3">
      <c r="I6076" s="72">
        <v>3037</v>
      </c>
      <c r="J6076" s="70">
        <v>1</v>
      </c>
    </row>
    <row r="6077" spans="9:10" x14ac:dyDescent="0.3">
      <c r="I6077" s="72">
        <v>3037.5</v>
      </c>
      <c r="J6077" s="70">
        <v>1</v>
      </c>
    </row>
    <row r="6078" spans="9:10" x14ac:dyDescent="0.3">
      <c r="I6078" s="72">
        <v>3038</v>
      </c>
      <c r="J6078" s="70">
        <v>1</v>
      </c>
    </row>
    <row r="6079" spans="9:10" x14ac:dyDescent="0.3">
      <c r="I6079" s="72">
        <v>3038.5</v>
      </c>
      <c r="J6079" s="70">
        <v>1</v>
      </c>
    </row>
    <row r="6080" spans="9:10" x14ac:dyDescent="0.3">
      <c r="I6080" s="72">
        <v>3039</v>
      </c>
      <c r="J6080" s="70">
        <v>1</v>
      </c>
    </row>
    <row r="6081" spans="9:10" x14ac:dyDescent="0.3">
      <c r="I6081" s="72">
        <v>3039.5</v>
      </c>
      <c r="J6081" s="70">
        <v>1</v>
      </c>
    </row>
    <row r="6082" spans="9:10" x14ac:dyDescent="0.3">
      <c r="I6082" s="72">
        <v>3040</v>
      </c>
      <c r="J6082" s="70">
        <v>1</v>
      </c>
    </row>
    <row r="6083" spans="9:10" x14ac:dyDescent="0.3">
      <c r="I6083" s="72">
        <v>3040.5</v>
      </c>
      <c r="J6083" s="70">
        <v>1</v>
      </c>
    </row>
    <row r="6084" spans="9:10" x14ac:dyDescent="0.3">
      <c r="I6084" s="72">
        <v>3041</v>
      </c>
      <c r="J6084" s="70">
        <v>1</v>
      </c>
    </row>
    <row r="6085" spans="9:10" x14ac:dyDescent="0.3">
      <c r="I6085" s="72">
        <v>3041.5</v>
      </c>
      <c r="J6085" s="70">
        <v>1</v>
      </c>
    </row>
    <row r="6086" spans="9:10" x14ac:dyDescent="0.3">
      <c r="I6086" s="72">
        <v>3042</v>
      </c>
      <c r="J6086" s="70">
        <v>1</v>
      </c>
    </row>
    <row r="6087" spans="9:10" x14ac:dyDescent="0.3">
      <c r="I6087" s="72">
        <v>3042.5</v>
      </c>
      <c r="J6087" s="70">
        <v>1</v>
      </c>
    </row>
    <row r="6088" spans="9:10" x14ac:dyDescent="0.3">
      <c r="I6088" s="72">
        <v>3043</v>
      </c>
      <c r="J6088" s="70">
        <v>1</v>
      </c>
    </row>
    <row r="6089" spans="9:10" x14ac:dyDescent="0.3">
      <c r="I6089" s="72">
        <v>3043.5</v>
      </c>
      <c r="J6089" s="70">
        <v>1</v>
      </c>
    </row>
    <row r="6090" spans="9:10" x14ac:dyDescent="0.3">
      <c r="I6090" s="72">
        <v>3044</v>
      </c>
      <c r="J6090" s="70">
        <v>1</v>
      </c>
    </row>
    <row r="6091" spans="9:10" x14ac:dyDescent="0.3">
      <c r="I6091" s="72">
        <v>3044.5</v>
      </c>
      <c r="J6091" s="70">
        <v>1</v>
      </c>
    </row>
    <row r="6092" spans="9:10" x14ac:dyDescent="0.3">
      <c r="I6092" s="72">
        <v>3045</v>
      </c>
      <c r="J6092" s="70">
        <v>1</v>
      </c>
    </row>
    <row r="6093" spans="9:10" x14ac:dyDescent="0.3">
      <c r="I6093" s="72">
        <v>3045.5</v>
      </c>
      <c r="J6093" s="70">
        <v>1</v>
      </c>
    </row>
    <row r="6094" spans="9:10" x14ac:dyDescent="0.3">
      <c r="I6094" s="72">
        <v>3046</v>
      </c>
      <c r="J6094" s="70">
        <v>1</v>
      </c>
    </row>
    <row r="6095" spans="9:10" x14ac:dyDescent="0.3">
      <c r="I6095" s="72">
        <v>3046.5</v>
      </c>
      <c r="J6095" s="70">
        <v>1</v>
      </c>
    </row>
    <row r="6096" spans="9:10" x14ac:dyDescent="0.3">
      <c r="I6096" s="72">
        <v>3047</v>
      </c>
      <c r="J6096" s="70">
        <v>1</v>
      </c>
    </row>
    <row r="6097" spans="9:10" x14ac:dyDescent="0.3">
      <c r="I6097" s="72">
        <v>3047.5</v>
      </c>
      <c r="J6097" s="70">
        <v>1</v>
      </c>
    </row>
    <row r="6098" spans="9:10" x14ac:dyDescent="0.3">
      <c r="I6098" s="72">
        <v>3048</v>
      </c>
      <c r="J6098" s="70">
        <v>1</v>
      </c>
    </row>
    <row r="6099" spans="9:10" x14ac:dyDescent="0.3">
      <c r="I6099" s="72">
        <v>3048.5</v>
      </c>
      <c r="J6099" s="70">
        <v>1</v>
      </c>
    </row>
    <row r="6100" spans="9:10" x14ac:dyDescent="0.3">
      <c r="I6100" s="72">
        <v>3049</v>
      </c>
      <c r="J6100" s="70">
        <v>1</v>
      </c>
    </row>
    <row r="6101" spans="9:10" x14ac:dyDescent="0.3">
      <c r="I6101" s="72">
        <v>3049.5</v>
      </c>
      <c r="J6101" s="70">
        <v>1</v>
      </c>
    </row>
    <row r="6102" spans="9:10" x14ac:dyDescent="0.3">
      <c r="I6102" s="72">
        <v>3050</v>
      </c>
      <c r="J6102" s="70">
        <v>1</v>
      </c>
    </row>
    <row r="6103" spans="9:10" x14ac:dyDescent="0.3">
      <c r="I6103" s="72">
        <v>3050.5</v>
      </c>
      <c r="J6103" s="70">
        <v>1</v>
      </c>
    </row>
    <row r="6104" spans="9:10" x14ac:dyDescent="0.3">
      <c r="I6104" s="72">
        <v>3051</v>
      </c>
      <c r="J6104" s="70">
        <v>1</v>
      </c>
    </row>
    <row r="6105" spans="9:10" x14ac:dyDescent="0.3">
      <c r="I6105" s="72">
        <v>3051.5</v>
      </c>
      <c r="J6105" s="70">
        <v>1</v>
      </c>
    </row>
    <row r="6106" spans="9:10" x14ac:dyDescent="0.3">
      <c r="I6106" s="72">
        <v>3052</v>
      </c>
      <c r="J6106" s="70">
        <v>1</v>
      </c>
    </row>
    <row r="6107" spans="9:10" x14ac:dyDescent="0.3">
      <c r="I6107" s="72">
        <v>3052.5</v>
      </c>
      <c r="J6107" s="70">
        <v>1</v>
      </c>
    </row>
    <row r="6108" spans="9:10" x14ac:dyDescent="0.3">
      <c r="I6108" s="72">
        <v>3053</v>
      </c>
      <c r="J6108" s="70">
        <v>1</v>
      </c>
    </row>
    <row r="6109" spans="9:10" x14ac:dyDescent="0.3">
      <c r="I6109" s="72">
        <v>3053.5</v>
      </c>
      <c r="J6109" s="70">
        <v>1</v>
      </c>
    </row>
    <row r="6110" spans="9:10" x14ac:dyDescent="0.3">
      <c r="I6110" s="72">
        <v>3054</v>
      </c>
      <c r="J6110" s="70">
        <v>1</v>
      </c>
    </row>
    <row r="6111" spans="9:10" x14ac:dyDescent="0.3">
      <c r="I6111" s="72">
        <v>3054.5</v>
      </c>
      <c r="J6111" s="70">
        <v>1</v>
      </c>
    </row>
    <row r="6112" spans="9:10" x14ac:dyDescent="0.3">
      <c r="I6112" s="72">
        <v>3055</v>
      </c>
      <c r="J6112" s="70">
        <v>1</v>
      </c>
    </row>
    <row r="6113" spans="9:10" x14ac:dyDescent="0.3">
      <c r="I6113" s="72">
        <v>3055.5</v>
      </c>
      <c r="J6113" s="70">
        <v>1</v>
      </c>
    </row>
    <row r="6114" spans="9:10" x14ac:dyDescent="0.3">
      <c r="I6114" s="72">
        <v>3056</v>
      </c>
      <c r="J6114" s="70">
        <v>1</v>
      </c>
    </row>
    <row r="6115" spans="9:10" x14ac:dyDescent="0.3">
      <c r="I6115" s="72">
        <v>3056.5</v>
      </c>
      <c r="J6115" s="70">
        <v>1</v>
      </c>
    </row>
    <row r="6116" spans="9:10" x14ac:dyDescent="0.3">
      <c r="I6116" s="72">
        <v>3057</v>
      </c>
      <c r="J6116" s="70">
        <v>1</v>
      </c>
    </row>
    <row r="6117" spans="9:10" x14ac:dyDescent="0.3">
      <c r="I6117" s="72">
        <v>3057.5</v>
      </c>
      <c r="J6117" s="70">
        <v>1</v>
      </c>
    </row>
    <row r="6118" spans="9:10" x14ac:dyDescent="0.3">
      <c r="I6118" s="72">
        <v>3058</v>
      </c>
      <c r="J6118" s="70">
        <v>1</v>
      </c>
    </row>
    <row r="6119" spans="9:10" x14ac:dyDescent="0.3">
      <c r="I6119" s="72">
        <v>3058.5</v>
      </c>
      <c r="J6119" s="70">
        <v>1</v>
      </c>
    </row>
    <row r="6120" spans="9:10" x14ac:dyDescent="0.3">
      <c r="I6120" s="72">
        <v>3059</v>
      </c>
      <c r="J6120" s="70">
        <v>1</v>
      </c>
    </row>
    <row r="6121" spans="9:10" x14ac:dyDescent="0.3">
      <c r="I6121" s="72">
        <v>3059.5</v>
      </c>
      <c r="J6121" s="70">
        <v>1</v>
      </c>
    </row>
    <row r="6122" spans="9:10" x14ac:dyDescent="0.3">
      <c r="I6122" s="72">
        <v>3060</v>
      </c>
      <c r="J6122" s="70">
        <v>1</v>
      </c>
    </row>
    <row r="6123" spans="9:10" x14ac:dyDescent="0.3">
      <c r="I6123" s="72">
        <v>3060.5</v>
      </c>
      <c r="J6123" s="70">
        <v>1</v>
      </c>
    </row>
    <row r="6124" spans="9:10" x14ac:dyDescent="0.3">
      <c r="I6124" s="72">
        <v>3061</v>
      </c>
      <c r="J6124" s="70">
        <v>1</v>
      </c>
    </row>
    <row r="6125" spans="9:10" x14ac:dyDescent="0.3">
      <c r="I6125" s="72">
        <v>3061.5</v>
      </c>
      <c r="J6125" s="70">
        <v>1</v>
      </c>
    </row>
    <row r="6126" spans="9:10" x14ac:dyDescent="0.3">
      <c r="I6126" s="72">
        <v>3062</v>
      </c>
      <c r="J6126" s="70">
        <v>1</v>
      </c>
    </row>
    <row r="6127" spans="9:10" x14ac:dyDescent="0.3">
      <c r="I6127" s="72">
        <v>3062.5</v>
      </c>
      <c r="J6127" s="70">
        <v>1</v>
      </c>
    </row>
    <row r="6128" spans="9:10" x14ac:dyDescent="0.3">
      <c r="I6128" s="72">
        <v>3063</v>
      </c>
      <c r="J6128" s="70">
        <v>1</v>
      </c>
    </row>
    <row r="6129" spans="9:10" x14ac:dyDescent="0.3">
      <c r="I6129" s="72">
        <v>3063.5</v>
      </c>
      <c r="J6129" s="70">
        <v>1</v>
      </c>
    </row>
    <row r="6130" spans="9:10" x14ac:dyDescent="0.3">
      <c r="I6130" s="72">
        <v>3064</v>
      </c>
      <c r="J6130" s="70">
        <v>1</v>
      </c>
    </row>
    <row r="6131" spans="9:10" x14ac:dyDescent="0.3">
      <c r="I6131" s="72">
        <v>3064.5</v>
      </c>
      <c r="J6131" s="70">
        <v>1</v>
      </c>
    </row>
    <row r="6132" spans="9:10" x14ac:dyDescent="0.3">
      <c r="I6132" s="72">
        <v>3065</v>
      </c>
      <c r="J6132" s="70">
        <v>1</v>
      </c>
    </row>
    <row r="6133" spans="9:10" x14ac:dyDescent="0.3">
      <c r="I6133" s="72">
        <v>3065.5</v>
      </c>
      <c r="J6133" s="70">
        <v>1</v>
      </c>
    </row>
    <row r="6134" spans="9:10" x14ac:dyDescent="0.3">
      <c r="I6134" s="72">
        <v>3066</v>
      </c>
      <c r="J6134" s="70">
        <v>1</v>
      </c>
    </row>
    <row r="6135" spans="9:10" x14ac:dyDescent="0.3">
      <c r="I6135" s="72">
        <v>3066.5</v>
      </c>
      <c r="J6135" s="70">
        <v>1</v>
      </c>
    </row>
    <row r="6136" spans="9:10" x14ac:dyDescent="0.3">
      <c r="I6136" s="72">
        <v>3067</v>
      </c>
      <c r="J6136" s="70">
        <v>1</v>
      </c>
    </row>
    <row r="6137" spans="9:10" x14ac:dyDescent="0.3">
      <c r="I6137" s="72">
        <v>3067.5</v>
      </c>
      <c r="J6137" s="70">
        <v>1</v>
      </c>
    </row>
    <row r="6138" spans="9:10" x14ac:dyDescent="0.3">
      <c r="I6138" s="72">
        <v>3068</v>
      </c>
      <c r="J6138" s="70">
        <v>1</v>
      </c>
    </row>
    <row r="6139" spans="9:10" x14ac:dyDescent="0.3">
      <c r="I6139" s="72">
        <v>3068.5</v>
      </c>
      <c r="J6139" s="70">
        <v>1</v>
      </c>
    </row>
    <row r="6140" spans="9:10" x14ac:dyDescent="0.3">
      <c r="I6140" s="72">
        <v>3069</v>
      </c>
      <c r="J6140" s="70">
        <v>1</v>
      </c>
    </row>
    <row r="6141" spans="9:10" x14ac:dyDescent="0.3">
      <c r="I6141" s="72">
        <v>3069.5</v>
      </c>
      <c r="J6141" s="70">
        <v>1</v>
      </c>
    </row>
    <row r="6142" spans="9:10" x14ac:dyDescent="0.3">
      <c r="I6142" s="72">
        <v>3070</v>
      </c>
      <c r="J6142" s="70">
        <v>1</v>
      </c>
    </row>
    <row r="6143" spans="9:10" x14ac:dyDescent="0.3">
      <c r="I6143" s="72">
        <v>3070.5</v>
      </c>
      <c r="J6143" s="70">
        <v>1</v>
      </c>
    </row>
    <row r="6144" spans="9:10" x14ac:dyDescent="0.3">
      <c r="I6144" s="72">
        <v>3071</v>
      </c>
      <c r="J6144" s="70">
        <v>1</v>
      </c>
    </row>
    <row r="6145" spans="9:10" x14ac:dyDescent="0.3">
      <c r="I6145" s="72">
        <v>3071.5</v>
      </c>
      <c r="J6145" s="70">
        <v>1</v>
      </c>
    </row>
    <row r="6146" spans="9:10" x14ac:dyDescent="0.3">
      <c r="I6146" s="72">
        <v>3072</v>
      </c>
      <c r="J6146" s="70">
        <v>1</v>
      </c>
    </row>
    <row r="6147" spans="9:10" x14ac:dyDescent="0.3">
      <c r="I6147" s="72">
        <v>3072.5</v>
      </c>
      <c r="J6147" s="70">
        <v>1</v>
      </c>
    </row>
    <row r="6148" spans="9:10" x14ac:dyDescent="0.3">
      <c r="I6148" s="72">
        <v>3073</v>
      </c>
      <c r="J6148" s="70">
        <v>1</v>
      </c>
    </row>
    <row r="6149" spans="9:10" x14ac:dyDescent="0.3">
      <c r="I6149" s="72">
        <v>3073.5</v>
      </c>
      <c r="J6149" s="70">
        <v>1</v>
      </c>
    </row>
    <row r="6150" spans="9:10" x14ac:dyDescent="0.3">
      <c r="I6150" s="72">
        <v>3074</v>
      </c>
      <c r="J6150" s="70">
        <v>1</v>
      </c>
    </row>
    <row r="6151" spans="9:10" x14ac:dyDescent="0.3">
      <c r="I6151" s="72">
        <v>3074.5</v>
      </c>
      <c r="J6151" s="70">
        <v>1</v>
      </c>
    </row>
    <row r="6152" spans="9:10" x14ac:dyDescent="0.3">
      <c r="I6152" s="72">
        <v>3075</v>
      </c>
      <c r="J6152" s="70">
        <v>1</v>
      </c>
    </row>
    <row r="6153" spans="9:10" x14ac:dyDescent="0.3">
      <c r="I6153" s="72">
        <v>3075.5</v>
      </c>
      <c r="J6153" s="70">
        <v>1</v>
      </c>
    </row>
    <row r="6154" spans="9:10" x14ac:dyDescent="0.3">
      <c r="I6154" s="72">
        <v>3076</v>
      </c>
      <c r="J6154" s="70">
        <v>1</v>
      </c>
    </row>
    <row r="6155" spans="9:10" x14ac:dyDescent="0.3">
      <c r="I6155" s="72">
        <v>3076.5</v>
      </c>
      <c r="J6155" s="70">
        <v>1</v>
      </c>
    </row>
    <row r="6156" spans="9:10" x14ac:dyDescent="0.3">
      <c r="I6156" s="72">
        <v>3077</v>
      </c>
      <c r="J6156" s="70">
        <v>1</v>
      </c>
    </row>
    <row r="6157" spans="9:10" x14ac:dyDescent="0.3">
      <c r="I6157" s="72">
        <v>3077.5</v>
      </c>
      <c r="J6157" s="70">
        <v>1</v>
      </c>
    </row>
    <row r="6158" spans="9:10" x14ac:dyDescent="0.3">
      <c r="I6158" s="72">
        <v>3078</v>
      </c>
      <c r="J6158" s="70">
        <v>1</v>
      </c>
    </row>
    <row r="6159" spans="9:10" x14ac:dyDescent="0.3">
      <c r="I6159" s="72">
        <v>3078.5</v>
      </c>
      <c r="J6159" s="70">
        <v>1</v>
      </c>
    </row>
    <row r="6160" spans="9:10" x14ac:dyDescent="0.3">
      <c r="I6160" s="72">
        <v>3079</v>
      </c>
      <c r="J6160" s="70">
        <v>1</v>
      </c>
    </row>
    <row r="6161" spans="9:10" x14ac:dyDescent="0.3">
      <c r="I6161" s="72">
        <v>3079.5</v>
      </c>
      <c r="J6161" s="70">
        <v>1</v>
      </c>
    </row>
    <row r="6162" spans="9:10" x14ac:dyDescent="0.3">
      <c r="I6162" s="72">
        <v>3080</v>
      </c>
      <c r="J6162" s="70">
        <v>1</v>
      </c>
    </row>
    <row r="6163" spans="9:10" x14ac:dyDescent="0.3">
      <c r="I6163" s="72">
        <v>3080.5</v>
      </c>
      <c r="J6163" s="70">
        <v>1</v>
      </c>
    </row>
    <row r="6164" spans="9:10" x14ac:dyDescent="0.3">
      <c r="I6164" s="72">
        <v>3081</v>
      </c>
      <c r="J6164" s="70">
        <v>1</v>
      </c>
    </row>
    <row r="6165" spans="9:10" x14ac:dyDescent="0.3">
      <c r="I6165" s="72">
        <v>3081.5</v>
      </c>
      <c r="J6165" s="70">
        <v>1</v>
      </c>
    </row>
    <row r="6166" spans="9:10" x14ac:dyDescent="0.3">
      <c r="I6166" s="72">
        <v>3082</v>
      </c>
      <c r="J6166" s="70">
        <v>1</v>
      </c>
    </row>
    <row r="6167" spans="9:10" x14ac:dyDescent="0.3">
      <c r="I6167" s="72">
        <v>3082.5</v>
      </c>
      <c r="J6167" s="70">
        <v>1</v>
      </c>
    </row>
    <row r="6168" spans="9:10" x14ac:dyDescent="0.3">
      <c r="I6168" s="72">
        <v>3083</v>
      </c>
      <c r="J6168" s="70">
        <v>1</v>
      </c>
    </row>
    <row r="6169" spans="9:10" x14ac:dyDescent="0.3">
      <c r="I6169" s="72">
        <v>3083.5</v>
      </c>
      <c r="J6169" s="70">
        <v>1</v>
      </c>
    </row>
    <row r="6170" spans="9:10" x14ac:dyDescent="0.3">
      <c r="I6170" s="72">
        <v>3084</v>
      </c>
      <c r="J6170" s="70">
        <v>1</v>
      </c>
    </row>
    <row r="6171" spans="9:10" x14ac:dyDescent="0.3">
      <c r="I6171" s="72">
        <v>3084.5</v>
      </c>
      <c r="J6171" s="70">
        <v>1</v>
      </c>
    </row>
    <row r="6172" spans="9:10" x14ac:dyDescent="0.3">
      <c r="I6172" s="72">
        <v>3085</v>
      </c>
      <c r="J6172" s="70">
        <v>1</v>
      </c>
    </row>
    <row r="6173" spans="9:10" x14ac:dyDescent="0.3">
      <c r="I6173" s="72">
        <v>3085.5</v>
      </c>
      <c r="J6173" s="70">
        <v>1</v>
      </c>
    </row>
    <row r="6174" spans="9:10" x14ac:dyDescent="0.3">
      <c r="I6174" s="72">
        <v>3086</v>
      </c>
      <c r="J6174" s="70">
        <v>1</v>
      </c>
    </row>
    <row r="6175" spans="9:10" x14ac:dyDescent="0.3">
      <c r="I6175" s="72">
        <v>3086.5</v>
      </c>
      <c r="J6175" s="70">
        <v>1</v>
      </c>
    </row>
    <row r="6176" spans="9:10" x14ac:dyDescent="0.3">
      <c r="I6176" s="72">
        <v>3087</v>
      </c>
      <c r="J6176" s="70">
        <v>1</v>
      </c>
    </row>
    <row r="6177" spans="9:10" x14ac:dyDescent="0.3">
      <c r="I6177" s="72">
        <v>3087.5</v>
      </c>
      <c r="J6177" s="70">
        <v>1</v>
      </c>
    </row>
    <row r="6178" spans="9:10" x14ac:dyDescent="0.3">
      <c r="I6178" s="72">
        <v>3088</v>
      </c>
      <c r="J6178" s="70">
        <v>1</v>
      </c>
    </row>
    <row r="6179" spans="9:10" x14ac:dyDescent="0.3">
      <c r="I6179" s="72">
        <v>3088.5</v>
      </c>
      <c r="J6179" s="70">
        <v>1</v>
      </c>
    </row>
    <row r="6180" spans="9:10" x14ac:dyDescent="0.3">
      <c r="I6180" s="72">
        <v>3089</v>
      </c>
      <c r="J6180" s="70">
        <v>1</v>
      </c>
    </row>
    <row r="6181" spans="9:10" x14ac:dyDescent="0.3">
      <c r="I6181" s="72">
        <v>3089.5</v>
      </c>
      <c r="J6181" s="70">
        <v>1</v>
      </c>
    </row>
    <row r="6182" spans="9:10" x14ac:dyDescent="0.3">
      <c r="I6182" s="72">
        <v>3090</v>
      </c>
      <c r="J6182" s="70">
        <v>1</v>
      </c>
    </row>
    <row r="6183" spans="9:10" x14ac:dyDescent="0.3">
      <c r="I6183" s="72">
        <v>3090.5</v>
      </c>
      <c r="J6183" s="70">
        <v>1</v>
      </c>
    </row>
    <row r="6184" spans="9:10" x14ac:dyDescent="0.3">
      <c r="I6184" s="72">
        <v>3091</v>
      </c>
      <c r="J6184" s="70">
        <v>1</v>
      </c>
    </row>
    <row r="6185" spans="9:10" x14ac:dyDescent="0.3">
      <c r="I6185" s="72">
        <v>3091.5</v>
      </c>
      <c r="J6185" s="70">
        <v>1</v>
      </c>
    </row>
    <row r="6186" spans="9:10" x14ac:dyDescent="0.3">
      <c r="I6186" s="72">
        <v>3092</v>
      </c>
      <c r="J6186" s="70">
        <v>1</v>
      </c>
    </row>
    <row r="6187" spans="9:10" x14ac:dyDescent="0.3">
      <c r="I6187" s="72">
        <v>3092.5</v>
      </c>
      <c r="J6187" s="70">
        <v>1</v>
      </c>
    </row>
    <row r="6188" spans="9:10" x14ac:dyDescent="0.3">
      <c r="I6188" s="72">
        <v>3093</v>
      </c>
      <c r="J6188" s="70">
        <v>1</v>
      </c>
    </row>
    <row r="6189" spans="9:10" x14ac:dyDescent="0.3">
      <c r="I6189" s="72">
        <v>3093.5</v>
      </c>
      <c r="J6189" s="70">
        <v>1</v>
      </c>
    </row>
    <row r="6190" spans="9:10" x14ac:dyDescent="0.3">
      <c r="I6190" s="72">
        <v>3094</v>
      </c>
      <c r="J6190" s="70">
        <v>1</v>
      </c>
    </row>
    <row r="6191" spans="9:10" x14ac:dyDescent="0.3">
      <c r="I6191" s="72">
        <v>3094.5</v>
      </c>
      <c r="J6191" s="70">
        <v>1</v>
      </c>
    </row>
    <row r="6192" spans="9:10" x14ac:dyDescent="0.3">
      <c r="I6192" s="72">
        <v>3095</v>
      </c>
      <c r="J6192" s="70">
        <v>1</v>
      </c>
    </row>
    <row r="6193" spans="9:10" x14ac:dyDescent="0.3">
      <c r="I6193" s="72">
        <v>3095.5</v>
      </c>
      <c r="J6193" s="70">
        <v>1</v>
      </c>
    </row>
    <row r="6194" spans="9:10" x14ac:dyDescent="0.3">
      <c r="I6194" s="72">
        <v>3096</v>
      </c>
      <c r="J6194" s="70">
        <v>1</v>
      </c>
    </row>
    <row r="6195" spans="9:10" x14ac:dyDescent="0.3">
      <c r="I6195" s="72">
        <v>3096.5</v>
      </c>
      <c r="J6195" s="70">
        <v>1</v>
      </c>
    </row>
    <row r="6196" spans="9:10" x14ac:dyDescent="0.3">
      <c r="I6196" s="72">
        <v>3097</v>
      </c>
      <c r="J6196" s="70">
        <v>1</v>
      </c>
    </row>
    <row r="6197" spans="9:10" x14ac:dyDescent="0.3">
      <c r="I6197" s="72">
        <v>3097.5</v>
      </c>
      <c r="J6197" s="70">
        <v>1</v>
      </c>
    </row>
    <row r="6198" spans="9:10" x14ac:dyDescent="0.3">
      <c r="I6198" s="72">
        <v>3098</v>
      </c>
      <c r="J6198" s="70">
        <v>1</v>
      </c>
    </row>
    <row r="6199" spans="9:10" x14ac:dyDescent="0.3">
      <c r="I6199" s="72">
        <v>3098.5</v>
      </c>
      <c r="J6199" s="70">
        <v>1</v>
      </c>
    </row>
    <row r="6200" spans="9:10" x14ac:dyDescent="0.3">
      <c r="I6200" s="72">
        <v>3099</v>
      </c>
      <c r="J6200" s="70">
        <v>1</v>
      </c>
    </row>
    <row r="6201" spans="9:10" x14ac:dyDescent="0.3">
      <c r="I6201" s="72">
        <v>3099.5</v>
      </c>
      <c r="J6201" s="70">
        <v>1</v>
      </c>
    </row>
    <row r="6202" spans="9:10" x14ac:dyDescent="0.3">
      <c r="I6202" s="72">
        <v>3100</v>
      </c>
      <c r="J6202" s="70">
        <v>1</v>
      </c>
    </row>
    <row r="6203" spans="9:10" x14ac:dyDescent="0.3">
      <c r="I6203" s="72">
        <v>3100.5</v>
      </c>
      <c r="J6203" s="70">
        <v>1</v>
      </c>
    </row>
    <row r="6204" spans="9:10" x14ac:dyDescent="0.3">
      <c r="I6204" s="72">
        <v>3101</v>
      </c>
      <c r="J6204" s="70">
        <v>1</v>
      </c>
    </row>
    <row r="6205" spans="9:10" x14ac:dyDescent="0.3">
      <c r="I6205" s="72">
        <v>3101.5</v>
      </c>
      <c r="J6205" s="70">
        <v>1</v>
      </c>
    </row>
    <row r="6206" spans="9:10" x14ac:dyDescent="0.3">
      <c r="I6206" s="72">
        <v>3102</v>
      </c>
      <c r="J6206" s="70">
        <v>1</v>
      </c>
    </row>
    <row r="6207" spans="9:10" x14ac:dyDescent="0.3">
      <c r="I6207" s="72">
        <v>3102.5</v>
      </c>
      <c r="J6207" s="70">
        <v>1</v>
      </c>
    </row>
    <row r="6208" spans="9:10" x14ac:dyDescent="0.3">
      <c r="I6208" s="72">
        <v>3103</v>
      </c>
      <c r="J6208" s="70">
        <v>1</v>
      </c>
    </row>
    <row r="6209" spans="9:10" x14ac:dyDescent="0.3">
      <c r="I6209" s="72">
        <v>3103.5</v>
      </c>
      <c r="J6209" s="70">
        <v>1</v>
      </c>
    </row>
    <row r="6210" spans="9:10" x14ac:dyDescent="0.3">
      <c r="I6210" s="72">
        <v>3104</v>
      </c>
      <c r="J6210" s="70">
        <v>1</v>
      </c>
    </row>
    <row r="6211" spans="9:10" x14ac:dyDescent="0.3">
      <c r="I6211" s="72">
        <v>3104.5</v>
      </c>
      <c r="J6211" s="70">
        <v>1</v>
      </c>
    </row>
    <row r="6212" spans="9:10" x14ac:dyDescent="0.3">
      <c r="I6212" s="72">
        <v>3105</v>
      </c>
      <c r="J6212" s="70">
        <v>1</v>
      </c>
    </row>
    <row r="6213" spans="9:10" x14ac:dyDescent="0.3">
      <c r="I6213" s="72">
        <v>3105.5</v>
      </c>
      <c r="J6213" s="70">
        <v>1</v>
      </c>
    </row>
    <row r="6214" spans="9:10" x14ac:dyDescent="0.3">
      <c r="I6214" s="72">
        <v>3106</v>
      </c>
      <c r="J6214" s="70">
        <v>1</v>
      </c>
    </row>
    <row r="6215" spans="9:10" x14ac:dyDescent="0.3">
      <c r="I6215" s="72">
        <v>3106.5</v>
      </c>
      <c r="J6215" s="70">
        <v>1</v>
      </c>
    </row>
    <row r="6216" spans="9:10" x14ac:dyDescent="0.3">
      <c r="I6216" s="72">
        <v>3107</v>
      </c>
      <c r="J6216" s="70">
        <v>1</v>
      </c>
    </row>
    <row r="6217" spans="9:10" x14ac:dyDescent="0.3">
      <c r="I6217" s="72">
        <v>3107.5</v>
      </c>
      <c r="J6217" s="70">
        <v>1</v>
      </c>
    </row>
    <row r="6218" spans="9:10" x14ac:dyDescent="0.3">
      <c r="I6218" s="72">
        <v>3108</v>
      </c>
      <c r="J6218" s="70">
        <v>1</v>
      </c>
    </row>
    <row r="6219" spans="9:10" x14ac:dyDescent="0.3">
      <c r="I6219" s="72">
        <v>3108.5</v>
      </c>
      <c r="J6219" s="70">
        <v>1</v>
      </c>
    </row>
    <row r="6220" spans="9:10" x14ac:dyDescent="0.3">
      <c r="I6220" s="72">
        <v>3109</v>
      </c>
      <c r="J6220" s="70">
        <v>1</v>
      </c>
    </row>
    <row r="6221" spans="9:10" x14ac:dyDescent="0.3">
      <c r="I6221" s="72">
        <v>3109.5</v>
      </c>
      <c r="J6221" s="70">
        <v>1</v>
      </c>
    </row>
    <row r="6222" spans="9:10" x14ac:dyDescent="0.3">
      <c r="I6222" s="72">
        <v>3110</v>
      </c>
      <c r="J6222" s="70">
        <v>1</v>
      </c>
    </row>
    <row r="6223" spans="9:10" x14ac:dyDescent="0.3">
      <c r="I6223" s="72">
        <v>3110.5</v>
      </c>
      <c r="J6223" s="70">
        <v>1</v>
      </c>
    </row>
    <row r="6224" spans="9:10" x14ac:dyDescent="0.3">
      <c r="I6224" s="72">
        <v>3111</v>
      </c>
      <c r="J6224" s="70">
        <v>1</v>
      </c>
    </row>
    <row r="6225" spans="9:10" x14ac:dyDescent="0.3">
      <c r="I6225" s="72">
        <v>3111.5</v>
      </c>
      <c r="J6225" s="70">
        <v>1</v>
      </c>
    </row>
    <row r="6226" spans="9:10" x14ac:dyDescent="0.3">
      <c r="I6226" s="72">
        <v>3112</v>
      </c>
      <c r="J6226" s="70">
        <v>1</v>
      </c>
    </row>
    <row r="6227" spans="9:10" x14ac:dyDescent="0.3">
      <c r="I6227" s="72">
        <v>3112.5</v>
      </c>
      <c r="J6227" s="70">
        <v>1</v>
      </c>
    </row>
    <row r="6228" spans="9:10" x14ac:dyDescent="0.3">
      <c r="I6228" s="72">
        <v>3113</v>
      </c>
      <c r="J6228" s="70">
        <v>1</v>
      </c>
    </row>
    <row r="6229" spans="9:10" x14ac:dyDescent="0.3">
      <c r="I6229" s="72">
        <v>3113.5</v>
      </c>
      <c r="J6229" s="70">
        <v>1</v>
      </c>
    </row>
    <row r="6230" spans="9:10" x14ac:dyDescent="0.3">
      <c r="I6230" s="72">
        <v>3114</v>
      </c>
      <c r="J6230" s="70">
        <v>1</v>
      </c>
    </row>
    <row r="6231" spans="9:10" x14ac:dyDescent="0.3">
      <c r="I6231" s="72">
        <v>3114.5</v>
      </c>
      <c r="J6231" s="70">
        <v>1</v>
      </c>
    </row>
    <row r="6232" spans="9:10" x14ac:dyDescent="0.3">
      <c r="I6232" s="72">
        <v>3115</v>
      </c>
      <c r="J6232" s="70">
        <v>1</v>
      </c>
    </row>
    <row r="6233" spans="9:10" x14ac:dyDescent="0.3">
      <c r="I6233" s="72">
        <v>3115.5</v>
      </c>
      <c r="J6233" s="70">
        <v>1</v>
      </c>
    </row>
    <row r="6234" spans="9:10" x14ac:dyDescent="0.3">
      <c r="I6234" s="72">
        <v>3116</v>
      </c>
      <c r="J6234" s="70">
        <v>1</v>
      </c>
    </row>
    <row r="6235" spans="9:10" x14ac:dyDescent="0.3">
      <c r="I6235" s="72">
        <v>3116.5</v>
      </c>
      <c r="J6235" s="70">
        <v>1</v>
      </c>
    </row>
    <row r="6236" spans="9:10" x14ac:dyDescent="0.3">
      <c r="I6236" s="72">
        <v>3117</v>
      </c>
      <c r="J6236" s="70">
        <v>1</v>
      </c>
    </row>
    <row r="6237" spans="9:10" x14ac:dyDescent="0.3">
      <c r="I6237" s="72">
        <v>3117.5</v>
      </c>
      <c r="J6237" s="70">
        <v>1</v>
      </c>
    </row>
    <row r="6238" spans="9:10" x14ac:dyDescent="0.3">
      <c r="I6238" s="72">
        <v>3118</v>
      </c>
      <c r="J6238" s="70">
        <v>1</v>
      </c>
    </row>
    <row r="6239" spans="9:10" x14ac:dyDescent="0.3">
      <c r="I6239" s="72">
        <v>3118.5</v>
      </c>
      <c r="J6239" s="70">
        <v>1</v>
      </c>
    </row>
    <row r="6240" spans="9:10" x14ac:dyDescent="0.3">
      <c r="I6240" s="72">
        <v>3119</v>
      </c>
      <c r="J6240" s="70">
        <v>1</v>
      </c>
    </row>
    <row r="6241" spans="9:10" x14ac:dyDescent="0.3">
      <c r="I6241" s="72">
        <v>3119.5</v>
      </c>
      <c r="J6241" s="70">
        <v>1</v>
      </c>
    </row>
    <row r="6242" spans="9:10" x14ac:dyDescent="0.3">
      <c r="I6242" s="72">
        <v>3120</v>
      </c>
      <c r="J6242" s="70">
        <v>1</v>
      </c>
    </row>
    <row r="6243" spans="9:10" x14ac:dyDescent="0.3">
      <c r="I6243" s="72">
        <v>3120.5</v>
      </c>
      <c r="J6243" s="70">
        <v>1</v>
      </c>
    </row>
    <row r="6244" spans="9:10" x14ac:dyDescent="0.3">
      <c r="I6244" s="72">
        <v>3121</v>
      </c>
      <c r="J6244" s="70">
        <v>1</v>
      </c>
    </row>
    <row r="6245" spans="9:10" x14ac:dyDescent="0.3">
      <c r="I6245" s="72">
        <v>3121.5</v>
      </c>
      <c r="J6245" s="70">
        <v>1</v>
      </c>
    </row>
    <row r="6246" spans="9:10" x14ac:dyDescent="0.3">
      <c r="I6246" s="72">
        <v>3122</v>
      </c>
      <c r="J6246" s="70">
        <v>1</v>
      </c>
    </row>
    <row r="6247" spans="9:10" x14ac:dyDescent="0.3">
      <c r="I6247" s="72">
        <v>3122.5</v>
      </c>
      <c r="J6247" s="70">
        <v>1</v>
      </c>
    </row>
    <row r="6248" spans="9:10" x14ac:dyDescent="0.3">
      <c r="I6248" s="72">
        <v>3123</v>
      </c>
      <c r="J6248" s="70">
        <v>1</v>
      </c>
    </row>
    <row r="6249" spans="9:10" x14ac:dyDescent="0.3">
      <c r="I6249" s="72">
        <v>3123.5</v>
      </c>
      <c r="J6249" s="70">
        <v>1</v>
      </c>
    </row>
    <row r="6250" spans="9:10" x14ac:dyDescent="0.3">
      <c r="I6250" s="72">
        <v>3124</v>
      </c>
      <c r="J6250" s="70">
        <v>1</v>
      </c>
    </row>
    <row r="6251" spans="9:10" x14ac:dyDescent="0.3">
      <c r="I6251" s="72">
        <v>3124.5</v>
      </c>
      <c r="J6251" s="70">
        <v>1</v>
      </c>
    </row>
    <row r="6252" spans="9:10" x14ac:dyDescent="0.3">
      <c r="I6252" s="72">
        <v>3125</v>
      </c>
      <c r="J6252" s="70">
        <v>1</v>
      </c>
    </row>
    <row r="6253" spans="9:10" x14ac:dyDescent="0.3">
      <c r="I6253" s="72">
        <v>3125.5</v>
      </c>
      <c r="J6253" s="70">
        <v>1</v>
      </c>
    </row>
    <row r="6254" spans="9:10" x14ac:dyDescent="0.3">
      <c r="I6254" s="72">
        <v>3126</v>
      </c>
      <c r="J6254" s="70">
        <v>1</v>
      </c>
    </row>
    <row r="6255" spans="9:10" x14ac:dyDescent="0.3">
      <c r="I6255" s="72">
        <v>3126.5</v>
      </c>
      <c r="J6255" s="70">
        <v>1</v>
      </c>
    </row>
    <row r="6256" spans="9:10" x14ac:dyDescent="0.3">
      <c r="I6256" s="72">
        <v>3127</v>
      </c>
      <c r="J6256" s="70">
        <v>1</v>
      </c>
    </row>
    <row r="6257" spans="9:10" x14ac:dyDescent="0.3">
      <c r="I6257" s="72">
        <v>3127.5</v>
      </c>
      <c r="J6257" s="70">
        <v>1</v>
      </c>
    </row>
    <row r="6258" spans="9:10" x14ac:dyDescent="0.3">
      <c r="I6258" s="72">
        <v>3128</v>
      </c>
      <c r="J6258" s="70">
        <v>1</v>
      </c>
    </row>
    <row r="6259" spans="9:10" x14ac:dyDescent="0.3">
      <c r="I6259" s="72">
        <v>3128.5</v>
      </c>
      <c r="J6259" s="70">
        <v>1</v>
      </c>
    </row>
    <row r="6260" spans="9:10" x14ac:dyDescent="0.3">
      <c r="I6260" s="72">
        <v>3129</v>
      </c>
      <c r="J6260" s="70">
        <v>1</v>
      </c>
    </row>
    <row r="6261" spans="9:10" x14ac:dyDescent="0.3">
      <c r="I6261" s="72">
        <v>3129.5</v>
      </c>
      <c r="J6261" s="70">
        <v>1</v>
      </c>
    </row>
    <row r="6262" spans="9:10" x14ac:dyDescent="0.3">
      <c r="I6262" s="72">
        <v>3130</v>
      </c>
      <c r="J6262" s="70">
        <v>1</v>
      </c>
    </row>
    <row r="6263" spans="9:10" x14ac:dyDescent="0.3">
      <c r="I6263" s="72">
        <v>3130.5</v>
      </c>
      <c r="J6263" s="70">
        <v>1</v>
      </c>
    </row>
    <row r="6264" spans="9:10" x14ac:dyDescent="0.3">
      <c r="I6264" s="72">
        <v>3131</v>
      </c>
      <c r="J6264" s="70">
        <v>1</v>
      </c>
    </row>
    <row r="6265" spans="9:10" x14ac:dyDescent="0.3">
      <c r="I6265" s="72">
        <v>3131.5</v>
      </c>
      <c r="J6265" s="70">
        <v>1</v>
      </c>
    </row>
    <row r="6266" spans="9:10" x14ac:dyDescent="0.3">
      <c r="I6266" s="72">
        <v>3132</v>
      </c>
      <c r="J6266" s="70">
        <v>1</v>
      </c>
    </row>
    <row r="6267" spans="9:10" x14ac:dyDescent="0.3">
      <c r="I6267" s="72">
        <v>3132.5</v>
      </c>
      <c r="J6267" s="70">
        <v>1</v>
      </c>
    </row>
    <row r="6268" spans="9:10" x14ac:dyDescent="0.3">
      <c r="I6268" s="72">
        <v>3133</v>
      </c>
      <c r="J6268" s="70">
        <v>1</v>
      </c>
    </row>
    <row r="6269" spans="9:10" x14ac:dyDescent="0.3">
      <c r="I6269" s="72">
        <v>3133.5</v>
      </c>
      <c r="J6269" s="70">
        <v>1</v>
      </c>
    </row>
    <row r="6270" spans="9:10" x14ac:dyDescent="0.3">
      <c r="I6270" s="72">
        <v>3134</v>
      </c>
      <c r="J6270" s="70">
        <v>1</v>
      </c>
    </row>
    <row r="6271" spans="9:10" x14ac:dyDescent="0.3">
      <c r="I6271" s="72">
        <v>3134.5</v>
      </c>
      <c r="J6271" s="70">
        <v>1</v>
      </c>
    </row>
    <row r="6272" spans="9:10" x14ac:dyDescent="0.3">
      <c r="I6272" s="72">
        <v>3135</v>
      </c>
      <c r="J6272" s="70">
        <v>1</v>
      </c>
    </row>
    <row r="6273" spans="9:10" x14ac:dyDescent="0.3">
      <c r="I6273" s="72">
        <v>3135.5</v>
      </c>
      <c r="J6273" s="70">
        <v>1</v>
      </c>
    </row>
    <row r="6274" spans="9:10" x14ac:dyDescent="0.3">
      <c r="I6274" s="72">
        <v>3136</v>
      </c>
      <c r="J6274" s="70">
        <v>1</v>
      </c>
    </row>
    <row r="6275" spans="9:10" x14ac:dyDescent="0.3">
      <c r="I6275" s="72">
        <v>3136.5</v>
      </c>
      <c r="J6275" s="70">
        <v>1</v>
      </c>
    </row>
    <row r="6276" spans="9:10" x14ac:dyDescent="0.3">
      <c r="I6276" s="72">
        <v>3137</v>
      </c>
      <c r="J6276" s="70">
        <v>1</v>
      </c>
    </row>
    <row r="6277" spans="9:10" x14ac:dyDescent="0.3">
      <c r="I6277" s="72">
        <v>3137.5</v>
      </c>
      <c r="J6277" s="70">
        <v>1</v>
      </c>
    </row>
    <row r="6278" spans="9:10" x14ac:dyDescent="0.3">
      <c r="I6278" s="72">
        <v>3138</v>
      </c>
      <c r="J6278" s="70">
        <v>1</v>
      </c>
    </row>
    <row r="6279" spans="9:10" x14ac:dyDescent="0.3">
      <c r="I6279" s="72">
        <v>3138.5</v>
      </c>
      <c r="J6279" s="70">
        <v>1</v>
      </c>
    </row>
    <row r="6280" spans="9:10" x14ac:dyDescent="0.3">
      <c r="I6280" s="72">
        <v>3139</v>
      </c>
      <c r="J6280" s="70">
        <v>1</v>
      </c>
    </row>
    <row r="6281" spans="9:10" x14ac:dyDescent="0.3">
      <c r="I6281" s="72">
        <v>3139.5</v>
      </c>
      <c r="J6281" s="70">
        <v>1</v>
      </c>
    </row>
    <row r="6282" spans="9:10" x14ac:dyDescent="0.3">
      <c r="I6282" s="72">
        <v>3140</v>
      </c>
      <c r="J6282" s="70">
        <v>1</v>
      </c>
    </row>
    <row r="6283" spans="9:10" x14ac:dyDescent="0.3">
      <c r="I6283" s="72">
        <v>3140.5</v>
      </c>
      <c r="J6283" s="70">
        <v>1</v>
      </c>
    </row>
    <row r="6284" spans="9:10" x14ac:dyDescent="0.3">
      <c r="I6284" s="72">
        <v>3141</v>
      </c>
      <c r="J6284" s="70">
        <v>1</v>
      </c>
    </row>
    <row r="6285" spans="9:10" x14ac:dyDescent="0.3">
      <c r="I6285" s="72">
        <v>3141.5</v>
      </c>
      <c r="J6285" s="70">
        <v>1</v>
      </c>
    </row>
    <row r="6286" spans="9:10" x14ac:dyDescent="0.3">
      <c r="I6286" s="72">
        <v>3142</v>
      </c>
      <c r="J6286" s="70">
        <v>1</v>
      </c>
    </row>
    <row r="6287" spans="9:10" x14ac:dyDescent="0.3">
      <c r="I6287" s="72">
        <v>3142.5</v>
      </c>
      <c r="J6287" s="70">
        <v>1</v>
      </c>
    </row>
    <row r="6288" spans="9:10" x14ac:dyDescent="0.3">
      <c r="I6288" s="72">
        <v>3143</v>
      </c>
      <c r="J6288" s="70">
        <v>1</v>
      </c>
    </row>
    <row r="6289" spans="9:10" x14ac:dyDescent="0.3">
      <c r="I6289" s="72">
        <v>3143.5</v>
      </c>
      <c r="J6289" s="70">
        <v>1</v>
      </c>
    </row>
    <row r="6290" spans="9:10" x14ac:dyDescent="0.3">
      <c r="I6290" s="72">
        <v>3144</v>
      </c>
      <c r="J6290" s="70">
        <v>1</v>
      </c>
    </row>
    <row r="6291" spans="9:10" x14ac:dyDescent="0.3">
      <c r="I6291" s="72">
        <v>3144.5</v>
      </c>
      <c r="J6291" s="70">
        <v>1</v>
      </c>
    </row>
    <row r="6292" spans="9:10" x14ac:dyDescent="0.3">
      <c r="I6292" s="72">
        <v>3145</v>
      </c>
      <c r="J6292" s="70">
        <v>1</v>
      </c>
    </row>
    <row r="6293" spans="9:10" x14ac:dyDescent="0.3">
      <c r="I6293" s="72">
        <v>3145.5</v>
      </c>
      <c r="J6293" s="70">
        <v>1</v>
      </c>
    </row>
    <row r="6294" spans="9:10" x14ac:dyDescent="0.3">
      <c r="I6294" s="72">
        <v>3146</v>
      </c>
      <c r="J6294" s="70">
        <v>1</v>
      </c>
    </row>
    <row r="6295" spans="9:10" x14ac:dyDescent="0.3">
      <c r="I6295" s="72">
        <v>3146.5</v>
      </c>
      <c r="J6295" s="70">
        <v>1</v>
      </c>
    </row>
    <row r="6296" spans="9:10" x14ac:dyDescent="0.3">
      <c r="I6296" s="72">
        <v>3147</v>
      </c>
      <c r="J6296" s="70">
        <v>1</v>
      </c>
    </row>
    <row r="6297" spans="9:10" x14ac:dyDescent="0.3">
      <c r="I6297" s="72">
        <v>3147.5</v>
      </c>
      <c r="J6297" s="70">
        <v>1</v>
      </c>
    </row>
    <row r="6298" spans="9:10" x14ac:dyDescent="0.3">
      <c r="I6298" s="72">
        <v>3148</v>
      </c>
      <c r="J6298" s="70">
        <v>1</v>
      </c>
    </row>
    <row r="6299" spans="9:10" x14ac:dyDescent="0.3">
      <c r="I6299" s="72">
        <v>3148.5</v>
      </c>
      <c r="J6299" s="70">
        <v>1</v>
      </c>
    </row>
    <row r="6300" spans="9:10" x14ac:dyDescent="0.3">
      <c r="I6300" s="72">
        <v>3149</v>
      </c>
      <c r="J6300" s="70">
        <v>1</v>
      </c>
    </row>
    <row r="6301" spans="9:10" x14ac:dyDescent="0.3">
      <c r="I6301" s="72">
        <v>3149.5</v>
      </c>
      <c r="J6301" s="70">
        <v>1</v>
      </c>
    </row>
    <row r="6302" spans="9:10" x14ac:dyDescent="0.3">
      <c r="I6302" s="72">
        <v>3150</v>
      </c>
      <c r="J6302" s="70">
        <v>1</v>
      </c>
    </row>
    <row r="6303" spans="9:10" x14ac:dyDescent="0.3">
      <c r="I6303" s="72">
        <v>3150.5</v>
      </c>
      <c r="J6303" s="70">
        <v>1</v>
      </c>
    </row>
    <row r="6304" spans="9:10" x14ac:dyDescent="0.3">
      <c r="I6304" s="72">
        <v>3151</v>
      </c>
      <c r="J6304" s="70">
        <v>1</v>
      </c>
    </row>
    <row r="6305" spans="9:10" x14ac:dyDescent="0.3">
      <c r="I6305" s="72">
        <v>3151.5</v>
      </c>
      <c r="J6305" s="70">
        <v>1</v>
      </c>
    </row>
    <row r="6306" spans="9:10" x14ac:dyDescent="0.3">
      <c r="I6306" s="72">
        <v>3152</v>
      </c>
      <c r="J6306" s="70">
        <v>1</v>
      </c>
    </row>
    <row r="6307" spans="9:10" x14ac:dyDescent="0.3">
      <c r="I6307" s="72">
        <v>3152.5</v>
      </c>
      <c r="J6307" s="70">
        <v>1</v>
      </c>
    </row>
    <row r="6308" spans="9:10" x14ac:dyDescent="0.3">
      <c r="I6308" s="72">
        <v>3153</v>
      </c>
      <c r="J6308" s="70">
        <v>1</v>
      </c>
    </row>
    <row r="6309" spans="9:10" x14ac:dyDescent="0.3">
      <c r="I6309" s="72">
        <v>3153.5</v>
      </c>
      <c r="J6309" s="70">
        <v>1</v>
      </c>
    </row>
    <row r="6310" spans="9:10" x14ac:dyDescent="0.3">
      <c r="I6310" s="72">
        <v>3154</v>
      </c>
      <c r="J6310" s="70">
        <v>1</v>
      </c>
    </row>
    <row r="6311" spans="9:10" x14ac:dyDescent="0.3">
      <c r="I6311" s="72">
        <v>3154.5</v>
      </c>
      <c r="J6311" s="70">
        <v>1</v>
      </c>
    </row>
    <row r="6312" spans="9:10" x14ac:dyDescent="0.3">
      <c r="I6312" s="72">
        <v>3155</v>
      </c>
      <c r="J6312" s="70">
        <v>1</v>
      </c>
    </row>
    <row r="6313" spans="9:10" x14ac:dyDescent="0.3">
      <c r="I6313" s="72">
        <v>3155.5</v>
      </c>
      <c r="J6313" s="70">
        <v>1</v>
      </c>
    </row>
    <row r="6314" spans="9:10" x14ac:dyDescent="0.3">
      <c r="I6314" s="72">
        <v>3156</v>
      </c>
      <c r="J6314" s="70">
        <v>1</v>
      </c>
    </row>
    <row r="6315" spans="9:10" x14ac:dyDescent="0.3">
      <c r="I6315" s="72">
        <v>3156.5</v>
      </c>
      <c r="J6315" s="70">
        <v>1</v>
      </c>
    </row>
    <row r="6316" spans="9:10" x14ac:dyDescent="0.3">
      <c r="I6316" s="72">
        <v>3157</v>
      </c>
      <c r="J6316" s="70">
        <v>1</v>
      </c>
    </row>
    <row r="6317" spans="9:10" x14ac:dyDescent="0.3">
      <c r="I6317" s="72">
        <v>3157.5</v>
      </c>
      <c r="J6317" s="70">
        <v>1</v>
      </c>
    </row>
    <row r="6318" spans="9:10" x14ac:dyDescent="0.3">
      <c r="I6318" s="72">
        <v>3158</v>
      </c>
      <c r="J6318" s="70">
        <v>1</v>
      </c>
    </row>
    <row r="6319" spans="9:10" x14ac:dyDescent="0.3">
      <c r="I6319" s="72">
        <v>3158.5</v>
      </c>
      <c r="J6319" s="70">
        <v>1</v>
      </c>
    </row>
    <row r="6320" spans="9:10" x14ac:dyDescent="0.3">
      <c r="I6320" s="72">
        <v>3159</v>
      </c>
      <c r="J6320" s="70">
        <v>1</v>
      </c>
    </row>
    <row r="6321" spans="9:10" x14ac:dyDescent="0.3">
      <c r="I6321" s="72">
        <v>3159.5</v>
      </c>
      <c r="J6321" s="70">
        <v>1</v>
      </c>
    </row>
    <row r="6322" spans="9:10" x14ac:dyDescent="0.3">
      <c r="I6322" s="72">
        <v>3160</v>
      </c>
      <c r="J6322" s="70">
        <v>1</v>
      </c>
    </row>
    <row r="6323" spans="9:10" x14ac:dyDescent="0.3">
      <c r="I6323" s="72">
        <v>3160.5</v>
      </c>
      <c r="J6323" s="70">
        <v>1</v>
      </c>
    </row>
    <row r="6324" spans="9:10" x14ac:dyDescent="0.3">
      <c r="I6324" s="72">
        <v>3161</v>
      </c>
      <c r="J6324" s="70">
        <v>1</v>
      </c>
    </row>
    <row r="6325" spans="9:10" x14ac:dyDescent="0.3">
      <c r="I6325" s="72">
        <v>3161.5</v>
      </c>
      <c r="J6325" s="70">
        <v>1</v>
      </c>
    </row>
    <row r="6326" spans="9:10" x14ac:dyDescent="0.3">
      <c r="I6326" s="72">
        <v>3162</v>
      </c>
      <c r="J6326" s="70">
        <v>1</v>
      </c>
    </row>
    <row r="6327" spans="9:10" x14ac:dyDescent="0.3">
      <c r="I6327" s="72">
        <v>3162.5</v>
      </c>
      <c r="J6327" s="70">
        <v>1</v>
      </c>
    </row>
    <row r="6328" spans="9:10" x14ac:dyDescent="0.3">
      <c r="I6328" s="72">
        <v>3163</v>
      </c>
      <c r="J6328" s="70">
        <v>1</v>
      </c>
    </row>
    <row r="6329" spans="9:10" x14ac:dyDescent="0.3">
      <c r="I6329" s="72">
        <v>3163.5</v>
      </c>
      <c r="J6329" s="70">
        <v>1</v>
      </c>
    </row>
    <row r="6330" spans="9:10" x14ac:dyDescent="0.3">
      <c r="I6330" s="72">
        <v>3164</v>
      </c>
      <c r="J6330" s="70">
        <v>1</v>
      </c>
    </row>
    <row r="6331" spans="9:10" x14ac:dyDescent="0.3">
      <c r="I6331" s="72">
        <v>3164.5</v>
      </c>
      <c r="J6331" s="70">
        <v>1</v>
      </c>
    </row>
    <row r="6332" spans="9:10" x14ac:dyDescent="0.3">
      <c r="I6332" s="72">
        <v>3165</v>
      </c>
      <c r="J6332" s="70">
        <v>1</v>
      </c>
    </row>
    <row r="6333" spans="9:10" x14ac:dyDescent="0.3">
      <c r="I6333" s="72">
        <v>3165.5</v>
      </c>
      <c r="J6333" s="70">
        <v>1</v>
      </c>
    </row>
    <row r="6334" spans="9:10" x14ac:dyDescent="0.3">
      <c r="I6334" s="72">
        <v>3166</v>
      </c>
      <c r="J6334" s="70">
        <v>1</v>
      </c>
    </row>
    <row r="6335" spans="9:10" x14ac:dyDescent="0.3">
      <c r="I6335" s="72">
        <v>3166.5</v>
      </c>
      <c r="J6335" s="70">
        <v>1</v>
      </c>
    </row>
    <row r="6336" spans="9:10" x14ac:dyDescent="0.3">
      <c r="I6336" s="72">
        <v>3167</v>
      </c>
      <c r="J6336" s="70">
        <v>1</v>
      </c>
    </row>
    <row r="6337" spans="9:10" x14ac:dyDescent="0.3">
      <c r="I6337" s="72">
        <v>3167.5</v>
      </c>
      <c r="J6337" s="70">
        <v>1</v>
      </c>
    </row>
    <row r="6338" spans="9:10" x14ac:dyDescent="0.3">
      <c r="I6338" s="72">
        <v>3168</v>
      </c>
      <c r="J6338" s="70">
        <v>1</v>
      </c>
    </row>
    <row r="6339" spans="9:10" x14ac:dyDescent="0.3">
      <c r="I6339" s="72">
        <v>3168.5</v>
      </c>
      <c r="J6339" s="70">
        <v>1</v>
      </c>
    </row>
    <row r="6340" spans="9:10" x14ac:dyDescent="0.3">
      <c r="I6340" s="72">
        <v>3169</v>
      </c>
      <c r="J6340" s="70">
        <v>1</v>
      </c>
    </row>
    <row r="6341" spans="9:10" x14ac:dyDescent="0.3">
      <c r="I6341" s="72">
        <v>3169.5</v>
      </c>
      <c r="J6341" s="70">
        <v>1</v>
      </c>
    </row>
    <row r="6342" spans="9:10" x14ac:dyDescent="0.3">
      <c r="I6342" s="72">
        <v>3170</v>
      </c>
      <c r="J6342" s="70">
        <v>1</v>
      </c>
    </row>
    <row r="6343" spans="9:10" x14ac:dyDescent="0.3">
      <c r="I6343" s="72">
        <v>3170.5</v>
      </c>
      <c r="J6343" s="70">
        <v>1</v>
      </c>
    </row>
    <row r="6344" spans="9:10" x14ac:dyDescent="0.3">
      <c r="I6344" s="72">
        <v>3171</v>
      </c>
      <c r="J6344" s="70">
        <v>1</v>
      </c>
    </row>
    <row r="6345" spans="9:10" x14ac:dyDescent="0.3">
      <c r="I6345" s="72">
        <v>3171.5</v>
      </c>
      <c r="J6345" s="70">
        <v>1</v>
      </c>
    </row>
    <row r="6346" spans="9:10" x14ac:dyDescent="0.3">
      <c r="I6346" s="72">
        <v>3172</v>
      </c>
      <c r="J6346" s="70">
        <v>1</v>
      </c>
    </row>
    <row r="6347" spans="9:10" x14ac:dyDescent="0.3">
      <c r="I6347" s="72">
        <v>3172.5</v>
      </c>
      <c r="J6347" s="70">
        <v>1</v>
      </c>
    </row>
    <row r="6348" spans="9:10" x14ac:dyDescent="0.3">
      <c r="I6348" s="72">
        <v>3173</v>
      </c>
      <c r="J6348" s="70">
        <v>1</v>
      </c>
    </row>
    <row r="6349" spans="9:10" x14ac:dyDescent="0.3">
      <c r="I6349" s="72">
        <v>3173.5</v>
      </c>
      <c r="J6349" s="70">
        <v>1</v>
      </c>
    </row>
    <row r="6350" spans="9:10" x14ac:dyDescent="0.3">
      <c r="I6350" s="72">
        <v>3174</v>
      </c>
      <c r="J6350" s="70">
        <v>1</v>
      </c>
    </row>
    <row r="6351" spans="9:10" x14ac:dyDescent="0.3">
      <c r="I6351" s="72">
        <v>3174.5</v>
      </c>
      <c r="J6351" s="70">
        <v>1</v>
      </c>
    </row>
    <row r="6352" spans="9:10" x14ac:dyDescent="0.3">
      <c r="I6352" s="72">
        <v>3175</v>
      </c>
      <c r="J6352" s="70">
        <v>1</v>
      </c>
    </row>
    <row r="6353" spans="9:10" x14ac:dyDescent="0.3">
      <c r="I6353" s="72">
        <v>3175.5</v>
      </c>
      <c r="J6353" s="70">
        <v>1</v>
      </c>
    </row>
    <row r="6354" spans="9:10" x14ac:dyDescent="0.3">
      <c r="I6354" s="72">
        <v>3176</v>
      </c>
      <c r="J6354" s="70">
        <v>1</v>
      </c>
    </row>
    <row r="6355" spans="9:10" x14ac:dyDescent="0.3">
      <c r="I6355" s="72">
        <v>3176.5</v>
      </c>
      <c r="J6355" s="70">
        <v>1</v>
      </c>
    </row>
    <row r="6356" spans="9:10" x14ac:dyDescent="0.3">
      <c r="I6356" s="72">
        <v>3177</v>
      </c>
      <c r="J6356" s="70">
        <v>1</v>
      </c>
    </row>
    <row r="6357" spans="9:10" x14ac:dyDescent="0.3">
      <c r="I6357" s="72">
        <v>3177.5</v>
      </c>
      <c r="J6357" s="70">
        <v>1</v>
      </c>
    </row>
    <row r="6358" spans="9:10" x14ac:dyDescent="0.3">
      <c r="I6358" s="72">
        <v>3178</v>
      </c>
      <c r="J6358" s="70">
        <v>1</v>
      </c>
    </row>
    <row r="6359" spans="9:10" x14ac:dyDescent="0.3">
      <c r="I6359" s="72">
        <v>3178.5</v>
      </c>
      <c r="J6359" s="70">
        <v>1</v>
      </c>
    </row>
    <row r="6360" spans="9:10" x14ac:dyDescent="0.3">
      <c r="I6360" s="72">
        <v>3179</v>
      </c>
      <c r="J6360" s="70">
        <v>1</v>
      </c>
    </row>
    <row r="6361" spans="9:10" x14ac:dyDescent="0.3">
      <c r="I6361" s="72">
        <v>3179.5</v>
      </c>
      <c r="J6361" s="70">
        <v>1</v>
      </c>
    </row>
    <row r="6362" spans="9:10" x14ac:dyDescent="0.3">
      <c r="I6362" s="72">
        <v>3180</v>
      </c>
      <c r="J6362" s="70">
        <v>1</v>
      </c>
    </row>
    <row r="6363" spans="9:10" x14ac:dyDescent="0.3">
      <c r="I6363" s="72">
        <v>3180.5</v>
      </c>
      <c r="J6363" s="70">
        <v>1</v>
      </c>
    </row>
    <row r="6364" spans="9:10" x14ac:dyDescent="0.3">
      <c r="I6364" s="72">
        <v>3181</v>
      </c>
      <c r="J6364" s="70">
        <v>1</v>
      </c>
    </row>
    <row r="6365" spans="9:10" x14ac:dyDescent="0.3">
      <c r="I6365" s="72">
        <v>3181.5</v>
      </c>
      <c r="J6365" s="70">
        <v>1</v>
      </c>
    </row>
    <row r="6366" spans="9:10" x14ac:dyDescent="0.3">
      <c r="I6366" s="72">
        <v>3182</v>
      </c>
      <c r="J6366" s="70">
        <v>1</v>
      </c>
    </row>
    <row r="6367" spans="9:10" x14ac:dyDescent="0.3">
      <c r="I6367" s="72">
        <v>3182.5</v>
      </c>
      <c r="J6367" s="70">
        <v>1</v>
      </c>
    </row>
    <row r="6368" spans="9:10" x14ac:dyDescent="0.3">
      <c r="I6368" s="72">
        <v>3183</v>
      </c>
      <c r="J6368" s="70">
        <v>1</v>
      </c>
    </row>
    <row r="6369" spans="9:10" x14ac:dyDescent="0.3">
      <c r="I6369" s="72">
        <v>3183.5</v>
      </c>
      <c r="J6369" s="70">
        <v>1</v>
      </c>
    </row>
    <row r="6370" spans="9:10" x14ac:dyDescent="0.3">
      <c r="I6370" s="72">
        <v>3184</v>
      </c>
      <c r="J6370" s="70">
        <v>1</v>
      </c>
    </row>
    <row r="6371" spans="9:10" x14ac:dyDescent="0.3">
      <c r="I6371" s="72">
        <v>3184.5</v>
      </c>
      <c r="J6371" s="70">
        <v>1</v>
      </c>
    </row>
    <row r="6372" spans="9:10" x14ac:dyDescent="0.3">
      <c r="I6372" s="72">
        <v>3185</v>
      </c>
      <c r="J6372" s="70">
        <v>1</v>
      </c>
    </row>
    <row r="6373" spans="9:10" x14ac:dyDescent="0.3">
      <c r="I6373" s="72">
        <v>3185.5</v>
      </c>
      <c r="J6373" s="70">
        <v>1</v>
      </c>
    </row>
    <row r="6374" spans="9:10" x14ac:dyDescent="0.3">
      <c r="I6374" s="72">
        <v>3186</v>
      </c>
      <c r="J6374" s="70">
        <v>1</v>
      </c>
    </row>
    <row r="6375" spans="9:10" x14ac:dyDescent="0.3">
      <c r="I6375" s="72">
        <v>3186.5</v>
      </c>
      <c r="J6375" s="70">
        <v>1</v>
      </c>
    </row>
    <row r="6376" spans="9:10" x14ac:dyDescent="0.3">
      <c r="I6376" s="72">
        <v>3187</v>
      </c>
      <c r="J6376" s="70">
        <v>1</v>
      </c>
    </row>
    <row r="6377" spans="9:10" x14ac:dyDescent="0.3">
      <c r="I6377" s="72">
        <v>3187.5</v>
      </c>
      <c r="J6377" s="70">
        <v>1</v>
      </c>
    </row>
    <row r="6378" spans="9:10" x14ac:dyDescent="0.3">
      <c r="I6378" s="72">
        <v>3188</v>
      </c>
      <c r="J6378" s="70">
        <v>1</v>
      </c>
    </row>
    <row r="6379" spans="9:10" x14ac:dyDescent="0.3">
      <c r="I6379" s="72">
        <v>3188.5</v>
      </c>
      <c r="J6379" s="70">
        <v>1</v>
      </c>
    </row>
    <row r="6380" spans="9:10" x14ac:dyDescent="0.3">
      <c r="I6380" s="72">
        <v>3189</v>
      </c>
      <c r="J6380" s="70">
        <v>1</v>
      </c>
    </row>
    <row r="6381" spans="9:10" x14ac:dyDescent="0.3">
      <c r="I6381" s="72">
        <v>3189.5</v>
      </c>
      <c r="J6381" s="70">
        <v>1</v>
      </c>
    </row>
    <row r="6382" spans="9:10" x14ac:dyDescent="0.3">
      <c r="I6382" s="72">
        <v>3190</v>
      </c>
      <c r="J6382" s="70">
        <v>1</v>
      </c>
    </row>
    <row r="6383" spans="9:10" x14ac:dyDescent="0.3">
      <c r="I6383" s="72">
        <v>3190.5</v>
      </c>
      <c r="J6383" s="70">
        <v>1</v>
      </c>
    </row>
    <row r="6384" spans="9:10" x14ac:dyDescent="0.3">
      <c r="I6384" s="72">
        <v>3191</v>
      </c>
      <c r="J6384" s="70">
        <v>1</v>
      </c>
    </row>
    <row r="6385" spans="9:10" x14ac:dyDescent="0.3">
      <c r="I6385" s="72">
        <v>3191.5</v>
      </c>
      <c r="J6385" s="70">
        <v>1</v>
      </c>
    </row>
    <row r="6386" spans="9:10" x14ac:dyDescent="0.3">
      <c r="I6386" s="72">
        <v>3192</v>
      </c>
      <c r="J6386" s="70">
        <v>1</v>
      </c>
    </row>
    <row r="6387" spans="9:10" x14ac:dyDescent="0.3">
      <c r="I6387" s="72">
        <v>3192.5</v>
      </c>
      <c r="J6387" s="70">
        <v>1</v>
      </c>
    </row>
    <row r="6388" spans="9:10" x14ac:dyDescent="0.3">
      <c r="I6388" s="72">
        <v>3193</v>
      </c>
      <c r="J6388" s="70">
        <v>1</v>
      </c>
    </row>
    <row r="6389" spans="9:10" x14ac:dyDescent="0.3">
      <c r="I6389" s="72">
        <v>3193.5</v>
      </c>
      <c r="J6389" s="70">
        <v>1</v>
      </c>
    </row>
    <row r="6390" spans="9:10" x14ac:dyDescent="0.3">
      <c r="I6390" s="72">
        <v>3194</v>
      </c>
      <c r="J6390" s="70">
        <v>1</v>
      </c>
    </row>
    <row r="6391" spans="9:10" x14ac:dyDescent="0.3">
      <c r="I6391" s="72">
        <v>3194.5</v>
      </c>
      <c r="J6391" s="70">
        <v>1</v>
      </c>
    </row>
    <row r="6392" spans="9:10" x14ac:dyDescent="0.3">
      <c r="I6392" s="72">
        <v>3195</v>
      </c>
      <c r="J6392" s="70">
        <v>1</v>
      </c>
    </row>
    <row r="6393" spans="9:10" x14ac:dyDescent="0.3">
      <c r="I6393" s="72">
        <v>3195.5</v>
      </c>
      <c r="J6393" s="70">
        <v>1</v>
      </c>
    </row>
    <row r="6394" spans="9:10" x14ac:dyDescent="0.3">
      <c r="I6394" s="72">
        <v>3196</v>
      </c>
      <c r="J6394" s="70">
        <v>1</v>
      </c>
    </row>
    <row r="6395" spans="9:10" x14ac:dyDescent="0.3">
      <c r="I6395" s="72">
        <v>3196.5</v>
      </c>
      <c r="J6395" s="70">
        <v>1</v>
      </c>
    </row>
    <row r="6396" spans="9:10" x14ac:dyDescent="0.3">
      <c r="I6396" s="72">
        <v>3197</v>
      </c>
      <c r="J6396" s="70">
        <v>1</v>
      </c>
    </row>
    <row r="6397" spans="9:10" x14ac:dyDescent="0.3">
      <c r="I6397" s="72">
        <v>3197.5</v>
      </c>
      <c r="J6397" s="70">
        <v>1</v>
      </c>
    </row>
    <row r="6398" spans="9:10" x14ac:dyDescent="0.3">
      <c r="I6398" s="72">
        <v>3198</v>
      </c>
      <c r="J6398" s="70">
        <v>1</v>
      </c>
    </row>
    <row r="6399" spans="9:10" x14ac:dyDescent="0.3">
      <c r="I6399" s="72">
        <v>3198.5</v>
      </c>
      <c r="J6399" s="70">
        <v>1</v>
      </c>
    </row>
    <row r="6400" spans="9:10" x14ac:dyDescent="0.3">
      <c r="I6400" s="72">
        <v>3199</v>
      </c>
      <c r="J6400" s="70">
        <v>1</v>
      </c>
    </row>
    <row r="6401" spans="9:10" x14ac:dyDescent="0.3">
      <c r="I6401" s="72">
        <v>3199.5</v>
      </c>
      <c r="J6401" s="70">
        <v>1</v>
      </c>
    </row>
    <row r="6402" spans="9:10" x14ac:dyDescent="0.3">
      <c r="I6402" s="72">
        <v>3200</v>
      </c>
      <c r="J6402" s="70">
        <v>1</v>
      </c>
    </row>
    <row r="6403" spans="9:10" x14ac:dyDescent="0.3">
      <c r="I6403" s="72">
        <v>3200.5</v>
      </c>
      <c r="J6403" s="70">
        <v>1</v>
      </c>
    </row>
    <row r="6404" spans="9:10" x14ac:dyDescent="0.3">
      <c r="I6404" s="72">
        <v>3201</v>
      </c>
      <c r="J6404" s="70">
        <v>1</v>
      </c>
    </row>
    <row r="6405" spans="9:10" x14ac:dyDescent="0.3">
      <c r="I6405" s="72">
        <v>3201.5</v>
      </c>
      <c r="J6405" s="70">
        <v>1</v>
      </c>
    </row>
    <row r="6406" spans="9:10" x14ac:dyDescent="0.3">
      <c r="I6406" s="72">
        <v>3202</v>
      </c>
      <c r="J6406" s="70">
        <v>1</v>
      </c>
    </row>
    <row r="6407" spans="9:10" x14ac:dyDescent="0.3">
      <c r="I6407" s="72">
        <v>3202.5</v>
      </c>
      <c r="J6407" s="70">
        <v>1</v>
      </c>
    </row>
    <row r="6408" spans="9:10" x14ac:dyDescent="0.3">
      <c r="I6408" s="72">
        <v>3203</v>
      </c>
      <c r="J6408" s="70">
        <v>1</v>
      </c>
    </row>
    <row r="6409" spans="9:10" x14ac:dyDescent="0.3">
      <c r="I6409" s="72">
        <v>3203.5</v>
      </c>
      <c r="J6409" s="70">
        <v>1</v>
      </c>
    </row>
    <row r="6410" spans="9:10" x14ac:dyDescent="0.3">
      <c r="I6410" s="72">
        <v>3204</v>
      </c>
      <c r="J6410" s="70">
        <v>1</v>
      </c>
    </row>
    <row r="6411" spans="9:10" x14ac:dyDescent="0.3">
      <c r="I6411" s="72">
        <v>3204.5</v>
      </c>
      <c r="J6411" s="70">
        <v>1</v>
      </c>
    </row>
    <row r="6412" spans="9:10" x14ac:dyDescent="0.3">
      <c r="I6412" s="72">
        <v>3205</v>
      </c>
      <c r="J6412" s="70">
        <v>1</v>
      </c>
    </row>
    <row r="6413" spans="9:10" x14ac:dyDescent="0.3">
      <c r="I6413" s="72">
        <v>3205.5</v>
      </c>
      <c r="J6413" s="70">
        <v>1</v>
      </c>
    </row>
    <row r="6414" spans="9:10" x14ac:dyDescent="0.3">
      <c r="I6414" s="72">
        <v>3206</v>
      </c>
      <c r="J6414" s="70">
        <v>1</v>
      </c>
    </row>
    <row r="6415" spans="9:10" x14ac:dyDescent="0.3">
      <c r="I6415" s="72">
        <v>3206.5</v>
      </c>
      <c r="J6415" s="70">
        <v>1</v>
      </c>
    </row>
    <row r="6416" spans="9:10" x14ac:dyDescent="0.3">
      <c r="I6416" s="72">
        <v>3207</v>
      </c>
      <c r="J6416" s="70">
        <v>1</v>
      </c>
    </row>
    <row r="6417" spans="9:10" x14ac:dyDescent="0.3">
      <c r="I6417" s="72">
        <v>3207.5</v>
      </c>
      <c r="J6417" s="70">
        <v>1</v>
      </c>
    </row>
    <row r="6418" spans="9:10" x14ac:dyDescent="0.3">
      <c r="I6418" s="72">
        <v>3208</v>
      </c>
      <c r="J6418" s="70">
        <v>1</v>
      </c>
    </row>
    <row r="6419" spans="9:10" x14ac:dyDescent="0.3">
      <c r="I6419" s="72">
        <v>3208.5</v>
      </c>
      <c r="J6419" s="70">
        <v>1</v>
      </c>
    </row>
    <row r="6420" spans="9:10" x14ac:dyDescent="0.3">
      <c r="I6420" s="72">
        <v>3209</v>
      </c>
      <c r="J6420" s="70">
        <v>1</v>
      </c>
    </row>
    <row r="6421" spans="9:10" x14ac:dyDescent="0.3">
      <c r="I6421" s="72">
        <v>3209.5</v>
      </c>
      <c r="J6421" s="70">
        <v>1</v>
      </c>
    </row>
    <row r="6422" spans="9:10" x14ac:dyDescent="0.3">
      <c r="I6422" s="72">
        <v>3210</v>
      </c>
      <c r="J6422" s="70">
        <v>1</v>
      </c>
    </row>
    <row r="6423" spans="9:10" x14ac:dyDescent="0.3">
      <c r="I6423" s="72">
        <v>3210.5</v>
      </c>
      <c r="J6423" s="70">
        <v>1</v>
      </c>
    </row>
    <row r="6424" spans="9:10" x14ac:dyDescent="0.3">
      <c r="I6424" s="72">
        <v>3211</v>
      </c>
      <c r="J6424" s="70">
        <v>1</v>
      </c>
    </row>
    <row r="6425" spans="9:10" x14ac:dyDescent="0.3">
      <c r="I6425" s="72">
        <v>3211.5</v>
      </c>
      <c r="J6425" s="70">
        <v>1</v>
      </c>
    </row>
    <row r="6426" spans="9:10" x14ac:dyDescent="0.3">
      <c r="I6426" s="72">
        <v>3212</v>
      </c>
      <c r="J6426" s="70">
        <v>1</v>
      </c>
    </row>
    <row r="6427" spans="9:10" x14ac:dyDescent="0.3">
      <c r="I6427" s="72">
        <v>3212.5</v>
      </c>
      <c r="J6427" s="70">
        <v>1</v>
      </c>
    </row>
    <row r="6428" spans="9:10" x14ac:dyDescent="0.3">
      <c r="I6428" s="72">
        <v>3213</v>
      </c>
      <c r="J6428" s="70">
        <v>1</v>
      </c>
    </row>
    <row r="6429" spans="9:10" x14ac:dyDescent="0.3">
      <c r="I6429" s="72">
        <v>3213.5</v>
      </c>
      <c r="J6429" s="70">
        <v>1</v>
      </c>
    </row>
    <row r="6430" spans="9:10" x14ac:dyDescent="0.3">
      <c r="I6430" s="72">
        <v>3214</v>
      </c>
      <c r="J6430" s="70">
        <v>1</v>
      </c>
    </row>
    <row r="6431" spans="9:10" x14ac:dyDescent="0.3">
      <c r="I6431" s="72">
        <v>3214.5</v>
      </c>
      <c r="J6431" s="70">
        <v>1</v>
      </c>
    </row>
    <row r="6432" spans="9:10" x14ac:dyDescent="0.3">
      <c r="I6432" s="72">
        <v>3215</v>
      </c>
      <c r="J6432" s="70">
        <v>1</v>
      </c>
    </row>
    <row r="6433" spans="9:10" x14ac:dyDescent="0.3">
      <c r="I6433" s="72">
        <v>3215.5</v>
      </c>
      <c r="J6433" s="70">
        <v>1</v>
      </c>
    </row>
    <row r="6434" spans="9:10" x14ac:dyDescent="0.3">
      <c r="I6434" s="72">
        <v>3216</v>
      </c>
      <c r="J6434" s="70">
        <v>1</v>
      </c>
    </row>
    <row r="6435" spans="9:10" x14ac:dyDescent="0.3">
      <c r="I6435" s="72">
        <v>3216.5</v>
      </c>
      <c r="J6435" s="70">
        <v>1</v>
      </c>
    </row>
    <row r="6436" spans="9:10" x14ac:dyDescent="0.3">
      <c r="I6436" s="72">
        <v>3217</v>
      </c>
      <c r="J6436" s="70">
        <v>1</v>
      </c>
    </row>
    <row r="6437" spans="9:10" x14ac:dyDescent="0.3">
      <c r="I6437" s="72">
        <v>3217.5</v>
      </c>
      <c r="J6437" s="70">
        <v>1</v>
      </c>
    </row>
    <row r="6438" spans="9:10" x14ac:dyDescent="0.3">
      <c r="I6438" s="72">
        <v>3218</v>
      </c>
      <c r="J6438" s="70">
        <v>1</v>
      </c>
    </row>
    <row r="6439" spans="9:10" x14ac:dyDescent="0.3">
      <c r="I6439" s="72">
        <v>3218.5</v>
      </c>
      <c r="J6439" s="70">
        <v>1</v>
      </c>
    </row>
    <row r="6440" spans="9:10" x14ac:dyDescent="0.3">
      <c r="I6440" s="72">
        <v>3219</v>
      </c>
      <c r="J6440" s="70">
        <v>1</v>
      </c>
    </row>
    <row r="6441" spans="9:10" x14ac:dyDescent="0.3">
      <c r="I6441" s="72">
        <v>3219.5</v>
      </c>
      <c r="J6441" s="70">
        <v>1</v>
      </c>
    </row>
    <row r="6442" spans="9:10" x14ac:dyDescent="0.3">
      <c r="I6442" s="72">
        <v>3220</v>
      </c>
      <c r="J6442" s="70">
        <v>1</v>
      </c>
    </row>
    <row r="6443" spans="9:10" x14ac:dyDescent="0.3">
      <c r="I6443" s="72">
        <v>3220.5</v>
      </c>
      <c r="J6443" s="70">
        <v>1</v>
      </c>
    </row>
    <row r="6444" spans="9:10" x14ac:dyDescent="0.3">
      <c r="I6444" s="72">
        <v>3221</v>
      </c>
      <c r="J6444" s="70">
        <v>1</v>
      </c>
    </row>
    <row r="6445" spans="9:10" x14ac:dyDescent="0.3">
      <c r="I6445" s="72">
        <v>3221.5</v>
      </c>
      <c r="J6445" s="70">
        <v>1</v>
      </c>
    </row>
    <row r="6446" spans="9:10" x14ac:dyDescent="0.3">
      <c r="I6446" s="72">
        <v>3222</v>
      </c>
      <c r="J6446" s="70">
        <v>1</v>
      </c>
    </row>
    <row r="6447" spans="9:10" x14ac:dyDescent="0.3">
      <c r="I6447" s="72">
        <v>3222.5</v>
      </c>
      <c r="J6447" s="70">
        <v>1</v>
      </c>
    </row>
    <row r="6448" spans="9:10" x14ac:dyDescent="0.3">
      <c r="I6448" s="72">
        <v>3223</v>
      </c>
      <c r="J6448" s="70">
        <v>1</v>
      </c>
    </row>
    <row r="6449" spans="9:10" x14ac:dyDescent="0.3">
      <c r="I6449" s="72">
        <v>3223.5</v>
      </c>
      <c r="J6449" s="70">
        <v>1</v>
      </c>
    </row>
    <row r="6450" spans="9:10" x14ac:dyDescent="0.3">
      <c r="I6450" s="72">
        <v>3224</v>
      </c>
      <c r="J6450" s="70">
        <v>1</v>
      </c>
    </row>
    <row r="6451" spans="9:10" x14ac:dyDescent="0.3">
      <c r="I6451" s="72">
        <v>3224.5</v>
      </c>
      <c r="J6451" s="70">
        <v>1</v>
      </c>
    </row>
    <row r="6452" spans="9:10" x14ac:dyDescent="0.3">
      <c r="I6452" s="72">
        <v>3225</v>
      </c>
      <c r="J6452" s="70">
        <v>1</v>
      </c>
    </row>
    <row r="6453" spans="9:10" x14ac:dyDescent="0.3">
      <c r="I6453" s="72">
        <v>3225.5</v>
      </c>
      <c r="J6453" s="70">
        <v>1</v>
      </c>
    </row>
    <row r="6454" spans="9:10" x14ac:dyDescent="0.3">
      <c r="I6454" s="72">
        <v>3226</v>
      </c>
      <c r="J6454" s="70">
        <v>1</v>
      </c>
    </row>
    <row r="6455" spans="9:10" x14ac:dyDescent="0.3">
      <c r="I6455" s="72">
        <v>3226.5</v>
      </c>
      <c r="J6455" s="70">
        <v>1</v>
      </c>
    </row>
    <row r="6456" spans="9:10" x14ac:dyDescent="0.3">
      <c r="I6456" s="72">
        <v>3227</v>
      </c>
      <c r="J6456" s="70">
        <v>1</v>
      </c>
    </row>
    <row r="6457" spans="9:10" x14ac:dyDescent="0.3">
      <c r="I6457" s="72">
        <v>3227.5</v>
      </c>
      <c r="J6457" s="70">
        <v>1</v>
      </c>
    </row>
    <row r="6458" spans="9:10" x14ac:dyDescent="0.3">
      <c r="I6458" s="72">
        <v>3228</v>
      </c>
      <c r="J6458" s="70">
        <v>1</v>
      </c>
    </row>
    <row r="6459" spans="9:10" x14ac:dyDescent="0.3">
      <c r="I6459" s="72">
        <v>3228.5</v>
      </c>
      <c r="J6459" s="70">
        <v>1</v>
      </c>
    </row>
    <row r="6460" spans="9:10" x14ac:dyDescent="0.3">
      <c r="I6460" s="72">
        <v>3229</v>
      </c>
      <c r="J6460" s="70">
        <v>1</v>
      </c>
    </row>
    <row r="6461" spans="9:10" x14ac:dyDescent="0.3">
      <c r="I6461" s="72">
        <v>3229.5</v>
      </c>
      <c r="J6461" s="70">
        <v>1</v>
      </c>
    </row>
    <row r="6462" spans="9:10" x14ac:dyDescent="0.3">
      <c r="I6462" s="72">
        <v>3230</v>
      </c>
      <c r="J6462" s="70">
        <v>1</v>
      </c>
    </row>
    <row r="6463" spans="9:10" x14ac:dyDescent="0.3">
      <c r="I6463" s="72">
        <v>3230.5</v>
      </c>
      <c r="J6463" s="70">
        <v>1</v>
      </c>
    </row>
    <row r="6464" spans="9:10" x14ac:dyDescent="0.3">
      <c r="I6464" s="72">
        <v>3231</v>
      </c>
      <c r="J6464" s="70">
        <v>1</v>
      </c>
    </row>
    <row r="6465" spans="9:10" x14ac:dyDescent="0.3">
      <c r="I6465" s="72">
        <v>3231.5</v>
      </c>
      <c r="J6465" s="70">
        <v>1</v>
      </c>
    </row>
    <row r="6466" spans="9:10" x14ac:dyDescent="0.3">
      <c r="I6466" s="72">
        <v>3232</v>
      </c>
      <c r="J6466" s="70">
        <v>1</v>
      </c>
    </row>
    <row r="6467" spans="9:10" x14ac:dyDescent="0.3">
      <c r="I6467" s="72">
        <v>3232.5</v>
      </c>
      <c r="J6467" s="70">
        <v>1</v>
      </c>
    </row>
    <row r="6468" spans="9:10" x14ac:dyDescent="0.3">
      <c r="I6468" s="72">
        <v>3233</v>
      </c>
      <c r="J6468" s="70">
        <v>1</v>
      </c>
    </row>
    <row r="6469" spans="9:10" x14ac:dyDescent="0.3">
      <c r="I6469" s="72">
        <v>3233.5</v>
      </c>
      <c r="J6469" s="70">
        <v>1</v>
      </c>
    </row>
    <row r="6470" spans="9:10" x14ac:dyDescent="0.3">
      <c r="I6470" s="72">
        <v>3234</v>
      </c>
      <c r="J6470" s="70">
        <v>1</v>
      </c>
    </row>
    <row r="6471" spans="9:10" x14ac:dyDescent="0.3">
      <c r="I6471" s="72">
        <v>3234.5</v>
      </c>
      <c r="J6471" s="70">
        <v>1</v>
      </c>
    </row>
    <row r="6472" spans="9:10" x14ac:dyDescent="0.3">
      <c r="I6472" s="72">
        <v>3235</v>
      </c>
      <c r="J6472" s="70">
        <v>1</v>
      </c>
    </row>
    <row r="6473" spans="9:10" x14ac:dyDescent="0.3">
      <c r="I6473" s="72">
        <v>3235.5</v>
      </c>
      <c r="J6473" s="70">
        <v>1</v>
      </c>
    </row>
    <row r="6474" spans="9:10" x14ac:dyDescent="0.3">
      <c r="I6474" s="72">
        <v>3236</v>
      </c>
      <c r="J6474" s="70">
        <v>1</v>
      </c>
    </row>
    <row r="6475" spans="9:10" x14ac:dyDescent="0.3">
      <c r="I6475" s="72">
        <v>3236.5</v>
      </c>
      <c r="J6475" s="70">
        <v>1</v>
      </c>
    </row>
    <row r="6476" spans="9:10" x14ac:dyDescent="0.3">
      <c r="I6476" s="72">
        <v>3237</v>
      </c>
      <c r="J6476" s="70">
        <v>1</v>
      </c>
    </row>
    <row r="6477" spans="9:10" x14ac:dyDescent="0.3">
      <c r="I6477" s="72">
        <v>3237.5</v>
      </c>
      <c r="J6477" s="70">
        <v>1</v>
      </c>
    </row>
    <row r="6478" spans="9:10" x14ac:dyDescent="0.3">
      <c r="I6478" s="72">
        <v>3238</v>
      </c>
      <c r="J6478" s="70">
        <v>1</v>
      </c>
    </row>
    <row r="6479" spans="9:10" x14ac:dyDescent="0.3">
      <c r="I6479" s="72">
        <v>3238.5</v>
      </c>
      <c r="J6479" s="70">
        <v>1</v>
      </c>
    </row>
    <row r="6480" spans="9:10" x14ac:dyDescent="0.3">
      <c r="I6480" s="72">
        <v>3239</v>
      </c>
      <c r="J6480" s="70">
        <v>1</v>
      </c>
    </row>
    <row r="6481" spans="9:10" x14ac:dyDescent="0.3">
      <c r="I6481" s="72">
        <v>3239.5</v>
      </c>
      <c r="J6481" s="70">
        <v>1</v>
      </c>
    </row>
    <row r="6482" spans="9:10" x14ac:dyDescent="0.3">
      <c r="I6482" s="72">
        <v>3240</v>
      </c>
      <c r="J6482" s="70">
        <v>1</v>
      </c>
    </row>
    <row r="6483" spans="9:10" x14ac:dyDescent="0.3">
      <c r="I6483" s="72">
        <v>3240.5</v>
      </c>
      <c r="J6483" s="70">
        <v>1</v>
      </c>
    </row>
    <row r="6484" spans="9:10" x14ac:dyDescent="0.3">
      <c r="I6484" s="72">
        <v>3241</v>
      </c>
      <c r="J6484" s="70">
        <v>1</v>
      </c>
    </row>
    <row r="6485" spans="9:10" x14ac:dyDescent="0.3">
      <c r="I6485" s="72">
        <v>3241.5</v>
      </c>
      <c r="J6485" s="70">
        <v>1</v>
      </c>
    </row>
    <row r="6486" spans="9:10" x14ac:dyDescent="0.3">
      <c r="I6486" s="72">
        <v>3242</v>
      </c>
      <c r="J6486" s="70">
        <v>1</v>
      </c>
    </row>
    <row r="6487" spans="9:10" x14ac:dyDescent="0.3">
      <c r="I6487" s="72">
        <v>3242.5</v>
      </c>
      <c r="J6487" s="70">
        <v>1</v>
      </c>
    </row>
    <row r="6488" spans="9:10" x14ac:dyDescent="0.3">
      <c r="I6488" s="72">
        <v>3243</v>
      </c>
      <c r="J6488" s="70">
        <v>1</v>
      </c>
    </row>
    <row r="6489" spans="9:10" x14ac:dyDescent="0.3">
      <c r="I6489" s="72">
        <v>3243.5</v>
      </c>
      <c r="J6489" s="70">
        <v>1</v>
      </c>
    </row>
    <row r="6490" spans="9:10" x14ac:dyDescent="0.3">
      <c r="I6490" s="72">
        <v>3244</v>
      </c>
      <c r="J6490" s="70">
        <v>1</v>
      </c>
    </row>
    <row r="6491" spans="9:10" x14ac:dyDescent="0.3">
      <c r="I6491" s="72">
        <v>3244.5</v>
      </c>
      <c r="J6491" s="70">
        <v>1</v>
      </c>
    </row>
    <row r="6492" spans="9:10" x14ac:dyDescent="0.3">
      <c r="I6492" s="72">
        <v>3245</v>
      </c>
      <c r="J6492" s="70">
        <v>1</v>
      </c>
    </row>
    <row r="6493" spans="9:10" x14ac:dyDescent="0.3">
      <c r="I6493" s="72">
        <v>3245.5</v>
      </c>
      <c r="J6493" s="70">
        <v>1</v>
      </c>
    </row>
    <row r="6494" spans="9:10" x14ac:dyDescent="0.3">
      <c r="I6494" s="72">
        <v>3246</v>
      </c>
      <c r="J6494" s="70">
        <v>1</v>
      </c>
    </row>
    <row r="6495" spans="9:10" x14ac:dyDescent="0.3">
      <c r="I6495" s="72">
        <v>3246.5</v>
      </c>
      <c r="J6495" s="70">
        <v>1</v>
      </c>
    </row>
    <row r="6496" spans="9:10" x14ac:dyDescent="0.3">
      <c r="I6496" s="72">
        <v>3247</v>
      </c>
      <c r="J6496" s="70">
        <v>1</v>
      </c>
    </row>
    <row r="6497" spans="9:10" x14ac:dyDescent="0.3">
      <c r="I6497" s="72">
        <v>3247.5</v>
      </c>
      <c r="J6497" s="70">
        <v>1</v>
      </c>
    </row>
    <row r="6498" spans="9:10" x14ac:dyDescent="0.3">
      <c r="I6498" s="72">
        <v>3248</v>
      </c>
      <c r="J6498" s="70">
        <v>1</v>
      </c>
    </row>
    <row r="6499" spans="9:10" x14ac:dyDescent="0.3">
      <c r="I6499" s="72">
        <v>3248.5</v>
      </c>
      <c r="J6499" s="70">
        <v>1</v>
      </c>
    </row>
    <row r="6500" spans="9:10" x14ac:dyDescent="0.3">
      <c r="I6500" s="72">
        <v>3249</v>
      </c>
      <c r="J6500" s="70">
        <v>1</v>
      </c>
    </row>
    <row r="6501" spans="9:10" x14ac:dyDescent="0.3">
      <c r="I6501" s="72">
        <v>3249.5</v>
      </c>
      <c r="J6501" s="70">
        <v>1</v>
      </c>
    </row>
    <row r="6502" spans="9:10" x14ac:dyDescent="0.3">
      <c r="I6502" s="72">
        <v>3250</v>
      </c>
      <c r="J6502" s="70">
        <v>1</v>
      </c>
    </row>
    <row r="6503" spans="9:10" x14ac:dyDescent="0.3">
      <c r="I6503" s="72">
        <v>3250.5</v>
      </c>
      <c r="J6503" s="70">
        <v>1</v>
      </c>
    </row>
    <row r="6504" spans="9:10" x14ac:dyDescent="0.3">
      <c r="I6504" s="72">
        <v>3251</v>
      </c>
      <c r="J6504" s="70">
        <v>1</v>
      </c>
    </row>
    <row r="6505" spans="9:10" x14ac:dyDescent="0.3">
      <c r="I6505" s="72">
        <v>3251.5</v>
      </c>
      <c r="J6505" s="70">
        <v>1</v>
      </c>
    </row>
    <row r="6506" spans="9:10" x14ac:dyDescent="0.3">
      <c r="I6506" s="72">
        <v>3252</v>
      </c>
      <c r="J6506" s="70">
        <v>1</v>
      </c>
    </row>
    <row r="6507" spans="9:10" x14ac:dyDescent="0.3">
      <c r="I6507" s="72">
        <v>3252.5</v>
      </c>
      <c r="J6507" s="70">
        <v>1</v>
      </c>
    </row>
    <row r="6508" spans="9:10" x14ac:dyDescent="0.3">
      <c r="I6508" s="72">
        <v>3253</v>
      </c>
      <c r="J6508" s="70">
        <v>1</v>
      </c>
    </row>
    <row r="6509" spans="9:10" x14ac:dyDescent="0.3">
      <c r="I6509" s="72">
        <v>3253.5</v>
      </c>
      <c r="J6509" s="70">
        <v>1</v>
      </c>
    </row>
    <row r="6510" spans="9:10" x14ac:dyDescent="0.3">
      <c r="I6510" s="72">
        <v>3254</v>
      </c>
      <c r="J6510" s="70">
        <v>1</v>
      </c>
    </row>
    <row r="6511" spans="9:10" x14ac:dyDescent="0.3">
      <c r="I6511" s="72">
        <v>3254.5</v>
      </c>
      <c r="J6511" s="70">
        <v>1</v>
      </c>
    </row>
    <row r="6512" spans="9:10" x14ac:dyDescent="0.3">
      <c r="I6512" s="72">
        <v>3255</v>
      </c>
      <c r="J6512" s="70">
        <v>1</v>
      </c>
    </row>
    <row r="6513" spans="9:10" x14ac:dyDescent="0.3">
      <c r="I6513" s="72">
        <v>3255.5</v>
      </c>
      <c r="J6513" s="70">
        <v>1</v>
      </c>
    </row>
    <row r="6514" spans="9:10" x14ac:dyDescent="0.3">
      <c r="I6514" s="72">
        <v>3256</v>
      </c>
      <c r="J6514" s="70">
        <v>1</v>
      </c>
    </row>
    <row r="6515" spans="9:10" x14ac:dyDescent="0.3">
      <c r="I6515" s="72">
        <v>3256.5</v>
      </c>
      <c r="J6515" s="70">
        <v>1</v>
      </c>
    </row>
    <row r="6516" spans="9:10" x14ac:dyDescent="0.3">
      <c r="I6516" s="72">
        <v>3257</v>
      </c>
      <c r="J6516" s="70">
        <v>1</v>
      </c>
    </row>
    <row r="6517" spans="9:10" x14ac:dyDescent="0.3">
      <c r="I6517" s="72">
        <v>3257.5</v>
      </c>
      <c r="J6517" s="70">
        <v>1</v>
      </c>
    </row>
    <row r="6518" spans="9:10" x14ac:dyDescent="0.3">
      <c r="I6518" s="72">
        <v>3258</v>
      </c>
      <c r="J6518" s="70">
        <v>1</v>
      </c>
    </row>
    <row r="6519" spans="9:10" x14ac:dyDescent="0.3">
      <c r="I6519" s="72">
        <v>3258.5</v>
      </c>
      <c r="J6519" s="70">
        <v>1</v>
      </c>
    </row>
    <row r="6520" spans="9:10" x14ac:dyDescent="0.3">
      <c r="I6520" s="72">
        <v>3259</v>
      </c>
      <c r="J6520" s="70">
        <v>1</v>
      </c>
    </row>
    <row r="6521" spans="9:10" x14ac:dyDescent="0.3">
      <c r="I6521" s="72">
        <v>3259.5</v>
      </c>
      <c r="J6521" s="70">
        <v>1</v>
      </c>
    </row>
    <row r="6522" spans="9:10" x14ac:dyDescent="0.3">
      <c r="I6522" s="72">
        <v>3260</v>
      </c>
      <c r="J6522" s="70">
        <v>1</v>
      </c>
    </row>
    <row r="6523" spans="9:10" x14ac:dyDescent="0.3">
      <c r="I6523" s="72">
        <v>3260.5</v>
      </c>
      <c r="J6523" s="70">
        <v>1</v>
      </c>
    </row>
    <row r="6524" spans="9:10" x14ac:dyDescent="0.3">
      <c r="I6524" s="72">
        <v>3261</v>
      </c>
      <c r="J6524" s="70">
        <v>1</v>
      </c>
    </row>
    <row r="6525" spans="9:10" x14ac:dyDescent="0.3">
      <c r="I6525" s="72">
        <v>3261.5</v>
      </c>
      <c r="J6525" s="70">
        <v>1</v>
      </c>
    </row>
    <row r="6526" spans="9:10" x14ac:dyDescent="0.3">
      <c r="I6526" s="72">
        <v>3262</v>
      </c>
      <c r="J6526" s="70">
        <v>1</v>
      </c>
    </row>
    <row r="6527" spans="9:10" x14ac:dyDescent="0.3">
      <c r="I6527" s="72">
        <v>3262.5</v>
      </c>
      <c r="J6527" s="70">
        <v>1</v>
      </c>
    </row>
    <row r="6528" spans="9:10" x14ac:dyDescent="0.3">
      <c r="I6528" s="72">
        <v>3263</v>
      </c>
      <c r="J6528" s="70">
        <v>1</v>
      </c>
    </row>
    <row r="6529" spans="9:10" x14ac:dyDescent="0.3">
      <c r="I6529" s="72">
        <v>3263.5</v>
      </c>
      <c r="J6529" s="70">
        <v>1</v>
      </c>
    </row>
    <row r="6530" spans="9:10" x14ac:dyDescent="0.3">
      <c r="I6530" s="72">
        <v>3264</v>
      </c>
      <c r="J6530" s="70">
        <v>1</v>
      </c>
    </row>
    <row r="6531" spans="9:10" x14ac:dyDescent="0.3">
      <c r="I6531" s="72">
        <v>3264.5</v>
      </c>
      <c r="J6531" s="70">
        <v>1</v>
      </c>
    </row>
    <row r="6532" spans="9:10" x14ac:dyDescent="0.3">
      <c r="I6532" s="72">
        <v>3265</v>
      </c>
      <c r="J6532" s="70">
        <v>1</v>
      </c>
    </row>
    <row r="6533" spans="9:10" x14ac:dyDescent="0.3">
      <c r="I6533" s="72">
        <v>3265.5</v>
      </c>
      <c r="J6533" s="70">
        <v>1</v>
      </c>
    </row>
    <row r="6534" spans="9:10" x14ac:dyDescent="0.3">
      <c r="I6534" s="72">
        <v>3266</v>
      </c>
      <c r="J6534" s="70">
        <v>1</v>
      </c>
    </row>
    <row r="6535" spans="9:10" x14ac:dyDescent="0.3">
      <c r="I6535" s="72">
        <v>3266.5</v>
      </c>
      <c r="J6535" s="70">
        <v>1</v>
      </c>
    </row>
    <row r="6536" spans="9:10" x14ac:dyDescent="0.3">
      <c r="I6536" s="72">
        <v>3267</v>
      </c>
      <c r="J6536" s="70">
        <v>1</v>
      </c>
    </row>
    <row r="6537" spans="9:10" x14ac:dyDescent="0.3">
      <c r="I6537" s="72">
        <v>3267.5</v>
      </c>
      <c r="J6537" s="70">
        <v>1</v>
      </c>
    </row>
    <row r="6538" spans="9:10" x14ac:dyDescent="0.3">
      <c r="I6538" s="72">
        <v>3268</v>
      </c>
      <c r="J6538" s="70">
        <v>1</v>
      </c>
    </row>
    <row r="6539" spans="9:10" x14ac:dyDescent="0.3">
      <c r="I6539" s="72">
        <v>3268.5</v>
      </c>
      <c r="J6539" s="70">
        <v>1</v>
      </c>
    </row>
    <row r="6540" spans="9:10" x14ac:dyDescent="0.3">
      <c r="I6540" s="72">
        <v>3269</v>
      </c>
      <c r="J6540" s="70">
        <v>1</v>
      </c>
    </row>
    <row r="6541" spans="9:10" x14ac:dyDescent="0.3">
      <c r="I6541" s="72">
        <v>3269.5</v>
      </c>
      <c r="J6541" s="70">
        <v>1</v>
      </c>
    </row>
    <row r="6542" spans="9:10" x14ac:dyDescent="0.3">
      <c r="I6542" s="72">
        <v>3270</v>
      </c>
      <c r="J6542" s="70">
        <v>1</v>
      </c>
    </row>
    <row r="6543" spans="9:10" x14ac:dyDescent="0.3">
      <c r="I6543" s="72">
        <v>3270.5</v>
      </c>
      <c r="J6543" s="70">
        <v>1</v>
      </c>
    </row>
    <row r="6544" spans="9:10" x14ac:dyDescent="0.3">
      <c r="I6544" s="72">
        <v>3271</v>
      </c>
      <c r="J6544" s="70">
        <v>1</v>
      </c>
    </row>
    <row r="6545" spans="9:10" x14ac:dyDescent="0.3">
      <c r="I6545" s="72">
        <v>3271.5</v>
      </c>
      <c r="J6545" s="70">
        <v>1</v>
      </c>
    </row>
    <row r="6546" spans="9:10" x14ac:dyDescent="0.3">
      <c r="I6546" s="72">
        <v>3272</v>
      </c>
      <c r="J6546" s="70">
        <v>1</v>
      </c>
    </row>
    <row r="6547" spans="9:10" x14ac:dyDescent="0.3">
      <c r="I6547" s="72">
        <v>3272.5</v>
      </c>
      <c r="J6547" s="70">
        <v>1</v>
      </c>
    </row>
    <row r="6548" spans="9:10" x14ac:dyDescent="0.3">
      <c r="I6548" s="72">
        <v>3273</v>
      </c>
      <c r="J6548" s="70">
        <v>1</v>
      </c>
    </row>
    <row r="6549" spans="9:10" x14ac:dyDescent="0.3">
      <c r="I6549" s="72">
        <v>3273.5</v>
      </c>
      <c r="J6549" s="70">
        <v>1</v>
      </c>
    </row>
    <row r="6550" spans="9:10" x14ac:dyDescent="0.3">
      <c r="I6550" s="72">
        <v>3274</v>
      </c>
      <c r="J6550" s="70">
        <v>1</v>
      </c>
    </row>
    <row r="6551" spans="9:10" x14ac:dyDescent="0.3">
      <c r="I6551" s="72">
        <v>3274.5</v>
      </c>
      <c r="J6551" s="70">
        <v>1</v>
      </c>
    </row>
    <row r="6552" spans="9:10" x14ac:dyDescent="0.3">
      <c r="I6552" s="72">
        <v>3275</v>
      </c>
      <c r="J6552" s="70">
        <v>1</v>
      </c>
    </row>
    <row r="6553" spans="9:10" x14ac:dyDescent="0.3">
      <c r="I6553" s="72">
        <v>3275.5</v>
      </c>
      <c r="J6553" s="70">
        <v>1</v>
      </c>
    </row>
    <row r="6554" spans="9:10" x14ac:dyDescent="0.3">
      <c r="I6554" s="72">
        <v>3276</v>
      </c>
      <c r="J6554" s="70">
        <v>1</v>
      </c>
    </row>
    <row r="6555" spans="9:10" x14ac:dyDescent="0.3">
      <c r="I6555" s="72">
        <v>3276.5</v>
      </c>
      <c r="J6555" s="70">
        <v>1</v>
      </c>
    </row>
    <row r="6556" spans="9:10" x14ac:dyDescent="0.3">
      <c r="I6556" s="72">
        <v>3277</v>
      </c>
      <c r="J6556" s="70">
        <v>1</v>
      </c>
    </row>
    <row r="6557" spans="9:10" x14ac:dyDescent="0.3">
      <c r="I6557" s="72">
        <v>3277.5</v>
      </c>
      <c r="J6557" s="70">
        <v>1</v>
      </c>
    </row>
    <row r="6558" spans="9:10" x14ac:dyDescent="0.3">
      <c r="I6558" s="72">
        <v>3278</v>
      </c>
      <c r="J6558" s="70">
        <v>1</v>
      </c>
    </row>
    <row r="6559" spans="9:10" x14ac:dyDescent="0.3">
      <c r="I6559" s="72">
        <v>3278.5</v>
      </c>
      <c r="J6559" s="70">
        <v>1</v>
      </c>
    </row>
    <row r="6560" spans="9:10" x14ac:dyDescent="0.3">
      <c r="I6560" s="72">
        <v>3279</v>
      </c>
      <c r="J6560" s="70">
        <v>1</v>
      </c>
    </row>
    <row r="6561" spans="9:10" x14ac:dyDescent="0.3">
      <c r="I6561" s="72">
        <v>3279.5</v>
      </c>
      <c r="J6561" s="70">
        <v>1</v>
      </c>
    </row>
    <row r="6562" spans="9:10" x14ac:dyDescent="0.3">
      <c r="I6562" s="72">
        <v>3280</v>
      </c>
      <c r="J6562" s="70">
        <v>1</v>
      </c>
    </row>
    <row r="6563" spans="9:10" x14ac:dyDescent="0.3">
      <c r="I6563" s="72">
        <v>3280.5</v>
      </c>
      <c r="J6563" s="70">
        <v>1</v>
      </c>
    </row>
    <row r="6564" spans="9:10" x14ac:dyDescent="0.3">
      <c r="I6564" s="72">
        <v>3281</v>
      </c>
      <c r="J6564" s="70">
        <v>1</v>
      </c>
    </row>
    <row r="6565" spans="9:10" x14ac:dyDescent="0.3">
      <c r="I6565" s="72">
        <v>3281.5</v>
      </c>
      <c r="J6565" s="70">
        <v>1</v>
      </c>
    </row>
    <row r="6566" spans="9:10" x14ac:dyDescent="0.3">
      <c r="I6566" s="72">
        <v>3282</v>
      </c>
      <c r="J6566" s="70">
        <v>1</v>
      </c>
    </row>
    <row r="6567" spans="9:10" x14ac:dyDescent="0.3">
      <c r="I6567" s="72">
        <v>3282.5</v>
      </c>
      <c r="J6567" s="70">
        <v>1</v>
      </c>
    </row>
    <row r="6568" spans="9:10" x14ac:dyDescent="0.3">
      <c r="I6568" s="72">
        <v>3283</v>
      </c>
      <c r="J6568" s="70">
        <v>1</v>
      </c>
    </row>
    <row r="6569" spans="9:10" x14ac:dyDescent="0.3">
      <c r="I6569" s="72">
        <v>3283.5</v>
      </c>
      <c r="J6569" s="70">
        <v>1</v>
      </c>
    </row>
    <row r="6570" spans="9:10" x14ac:dyDescent="0.3">
      <c r="I6570" s="72">
        <v>3284</v>
      </c>
      <c r="J6570" s="70">
        <v>1</v>
      </c>
    </row>
    <row r="6571" spans="9:10" x14ac:dyDescent="0.3">
      <c r="I6571" s="72">
        <v>3284.5</v>
      </c>
      <c r="J6571" s="70">
        <v>1</v>
      </c>
    </row>
    <row r="6572" spans="9:10" x14ac:dyDescent="0.3">
      <c r="I6572" s="72">
        <v>3285</v>
      </c>
      <c r="J6572" s="70">
        <v>1</v>
      </c>
    </row>
    <row r="6573" spans="9:10" x14ac:dyDescent="0.3">
      <c r="I6573" s="72">
        <v>3285.5</v>
      </c>
      <c r="J6573" s="70">
        <v>1</v>
      </c>
    </row>
    <row r="6574" spans="9:10" x14ac:dyDescent="0.3">
      <c r="I6574" s="72">
        <v>3286</v>
      </c>
      <c r="J6574" s="70">
        <v>1</v>
      </c>
    </row>
    <row r="6575" spans="9:10" x14ac:dyDescent="0.3">
      <c r="I6575" s="72">
        <v>3286.5</v>
      </c>
      <c r="J6575" s="70">
        <v>1</v>
      </c>
    </row>
    <row r="6576" spans="9:10" x14ac:dyDescent="0.3">
      <c r="I6576" s="72">
        <v>3287</v>
      </c>
      <c r="J6576" s="70">
        <v>1</v>
      </c>
    </row>
    <row r="6577" spans="9:10" x14ac:dyDescent="0.3">
      <c r="I6577" s="72">
        <v>3287.5</v>
      </c>
      <c r="J6577" s="70">
        <v>1</v>
      </c>
    </row>
    <row r="6578" spans="9:10" x14ac:dyDescent="0.3">
      <c r="I6578" s="72">
        <v>3288</v>
      </c>
      <c r="J6578" s="70">
        <v>1</v>
      </c>
    </row>
    <row r="6579" spans="9:10" x14ac:dyDescent="0.3">
      <c r="I6579" s="72">
        <v>3288.5</v>
      </c>
      <c r="J6579" s="70">
        <v>1</v>
      </c>
    </row>
    <row r="6580" spans="9:10" x14ac:dyDescent="0.3">
      <c r="I6580" s="72">
        <v>3289</v>
      </c>
      <c r="J6580" s="70">
        <v>1</v>
      </c>
    </row>
    <row r="6581" spans="9:10" x14ac:dyDescent="0.3">
      <c r="I6581" s="72">
        <v>3289.5</v>
      </c>
      <c r="J6581" s="70">
        <v>1</v>
      </c>
    </row>
    <row r="6582" spans="9:10" x14ac:dyDescent="0.3">
      <c r="I6582" s="72">
        <v>3290</v>
      </c>
      <c r="J6582" s="70">
        <v>1</v>
      </c>
    </row>
    <row r="6583" spans="9:10" x14ac:dyDescent="0.3">
      <c r="I6583" s="72">
        <v>3290.5</v>
      </c>
      <c r="J6583" s="70">
        <v>1</v>
      </c>
    </row>
    <row r="6584" spans="9:10" x14ac:dyDescent="0.3">
      <c r="I6584" s="72">
        <v>3291</v>
      </c>
      <c r="J6584" s="70">
        <v>1</v>
      </c>
    </row>
    <row r="6585" spans="9:10" x14ac:dyDescent="0.3">
      <c r="I6585" s="72">
        <v>3291.5</v>
      </c>
      <c r="J6585" s="70">
        <v>1</v>
      </c>
    </row>
    <row r="6586" spans="9:10" x14ac:dyDescent="0.3">
      <c r="I6586" s="72">
        <v>3292</v>
      </c>
      <c r="J6586" s="70">
        <v>1</v>
      </c>
    </row>
    <row r="6587" spans="9:10" x14ac:dyDescent="0.3">
      <c r="I6587" s="72">
        <v>3292.5</v>
      </c>
      <c r="J6587" s="70">
        <v>1</v>
      </c>
    </row>
    <row r="6588" spans="9:10" x14ac:dyDescent="0.3">
      <c r="I6588" s="72">
        <v>3293</v>
      </c>
      <c r="J6588" s="70">
        <v>1</v>
      </c>
    </row>
    <row r="6589" spans="9:10" x14ac:dyDescent="0.3">
      <c r="I6589" s="72">
        <v>3293.5</v>
      </c>
      <c r="J6589" s="70">
        <v>1</v>
      </c>
    </row>
    <row r="6590" spans="9:10" x14ac:dyDescent="0.3">
      <c r="I6590" s="72">
        <v>3294</v>
      </c>
      <c r="J6590" s="70">
        <v>1</v>
      </c>
    </row>
    <row r="6591" spans="9:10" x14ac:dyDescent="0.3">
      <c r="I6591" s="72">
        <v>3294.5</v>
      </c>
      <c r="J6591" s="70">
        <v>1</v>
      </c>
    </row>
    <row r="6592" spans="9:10" x14ac:dyDescent="0.3">
      <c r="I6592" s="72">
        <v>3295</v>
      </c>
      <c r="J6592" s="70">
        <v>1</v>
      </c>
    </row>
    <row r="6593" spans="9:10" x14ac:dyDescent="0.3">
      <c r="I6593" s="72">
        <v>3295.5</v>
      </c>
      <c r="J6593" s="70">
        <v>1</v>
      </c>
    </row>
    <row r="6594" spans="9:10" x14ac:dyDescent="0.3">
      <c r="I6594" s="72">
        <v>3296</v>
      </c>
      <c r="J6594" s="70">
        <v>1</v>
      </c>
    </row>
    <row r="6595" spans="9:10" x14ac:dyDescent="0.3">
      <c r="I6595" s="72">
        <v>3296.5</v>
      </c>
      <c r="J6595" s="70">
        <v>1</v>
      </c>
    </row>
    <row r="6596" spans="9:10" x14ac:dyDescent="0.3">
      <c r="I6596" s="72">
        <v>3297</v>
      </c>
      <c r="J6596" s="70">
        <v>1</v>
      </c>
    </row>
    <row r="6597" spans="9:10" x14ac:dyDescent="0.3">
      <c r="I6597" s="72">
        <v>3297.5</v>
      </c>
      <c r="J6597" s="70">
        <v>1</v>
      </c>
    </row>
    <row r="6598" spans="9:10" x14ac:dyDescent="0.3">
      <c r="I6598" s="72">
        <v>3298</v>
      </c>
      <c r="J6598" s="70">
        <v>1</v>
      </c>
    </row>
    <row r="6599" spans="9:10" x14ac:dyDescent="0.3">
      <c r="I6599" s="72">
        <v>3298.5</v>
      </c>
      <c r="J6599" s="70">
        <v>1</v>
      </c>
    </row>
    <row r="6600" spans="9:10" x14ac:dyDescent="0.3">
      <c r="I6600" s="72">
        <v>3299</v>
      </c>
      <c r="J6600" s="70">
        <v>1</v>
      </c>
    </row>
    <row r="6601" spans="9:10" x14ac:dyDescent="0.3">
      <c r="I6601" s="72">
        <v>3299.5</v>
      </c>
      <c r="J6601" s="70">
        <v>1</v>
      </c>
    </row>
    <row r="6602" spans="9:10" x14ac:dyDescent="0.3">
      <c r="I6602" s="72">
        <v>3300</v>
      </c>
      <c r="J6602" s="70">
        <v>1</v>
      </c>
    </row>
    <row r="6603" spans="9:10" x14ac:dyDescent="0.3">
      <c r="I6603" s="72">
        <v>3300.5</v>
      </c>
      <c r="J6603" s="70">
        <v>1</v>
      </c>
    </row>
    <row r="6604" spans="9:10" x14ac:dyDescent="0.3">
      <c r="I6604" s="72">
        <v>3301</v>
      </c>
      <c r="J6604" s="70">
        <v>1</v>
      </c>
    </row>
    <row r="6605" spans="9:10" x14ac:dyDescent="0.3">
      <c r="I6605" s="72">
        <v>3301.5</v>
      </c>
      <c r="J6605" s="70">
        <v>1</v>
      </c>
    </row>
    <row r="6606" spans="9:10" x14ac:dyDescent="0.3">
      <c r="I6606" s="72">
        <v>3302</v>
      </c>
      <c r="J6606" s="70">
        <v>1</v>
      </c>
    </row>
    <row r="6607" spans="9:10" x14ac:dyDescent="0.3">
      <c r="I6607" s="72">
        <v>3302.5</v>
      </c>
      <c r="J6607" s="70">
        <v>1</v>
      </c>
    </row>
    <row r="6608" spans="9:10" x14ac:dyDescent="0.3">
      <c r="I6608" s="72">
        <v>3303</v>
      </c>
      <c r="J6608" s="70">
        <v>1</v>
      </c>
    </row>
    <row r="6609" spans="9:10" x14ac:dyDescent="0.3">
      <c r="I6609" s="72">
        <v>3303.5</v>
      </c>
      <c r="J6609" s="70">
        <v>1</v>
      </c>
    </row>
    <row r="6610" spans="9:10" x14ac:dyDescent="0.3">
      <c r="I6610" s="72">
        <v>3304</v>
      </c>
      <c r="J6610" s="70">
        <v>1</v>
      </c>
    </row>
    <row r="6611" spans="9:10" x14ac:dyDescent="0.3">
      <c r="I6611" s="72">
        <v>3304.5</v>
      </c>
      <c r="J6611" s="70">
        <v>1</v>
      </c>
    </row>
    <row r="6612" spans="9:10" x14ac:dyDescent="0.3">
      <c r="I6612" s="72">
        <v>3305</v>
      </c>
      <c r="J6612" s="70">
        <v>1</v>
      </c>
    </row>
    <row r="6613" spans="9:10" x14ac:dyDescent="0.3">
      <c r="I6613" s="72">
        <v>3305.5</v>
      </c>
      <c r="J6613" s="70">
        <v>1</v>
      </c>
    </row>
    <row r="6614" spans="9:10" x14ac:dyDescent="0.3">
      <c r="I6614" s="72">
        <v>3306</v>
      </c>
      <c r="J6614" s="70">
        <v>1</v>
      </c>
    </row>
    <row r="6615" spans="9:10" x14ac:dyDescent="0.3">
      <c r="I6615" s="72">
        <v>3306.5</v>
      </c>
      <c r="J6615" s="70">
        <v>1</v>
      </c>
    </row>
    <row r="6616" spans="9:10" x14ac:dyDescent="0.3">
      <c r="I6616" s="72">
        <v>3307</v>
      </c>
      <c r="J6616" s="70">
        <v>1</v>
      </c>
    </row>
    <row r="6617" spans="9:10" x14ac:dyDescent="0.3">
      <c r="I6617" s="72">
        <v>3307.5</v>
      </c>
      <c r="J6617" s="70">
        <v>1</v>
      </c>
    </row>
    <row r="6618" spans="9:10" x14ac:dyDescent="0.3">
      <c r="I6618" s="72">
        <v>3308</v>
      </c>
      <c r="J6618" s="70">
        <v>1</v>
      </c>
    </row>
    <row r="6619" spans="9:10" x14ac:dyDescent="0.3">
      <c r="I6619" s="72">
        <v>3308.5</v>
      </c>
      <c r="J6619" s="70">
        <v>1</v>
      </c>
    </row>
    <row r="6620" spans="9:10" x14ac:dyDescent="0.3">
      <c r="I6620" s="72">
        <v>3309</v>
      </c>
      <c r="J6620" s="70">
        <v>1</v>
      </c>
    </row>
    <row r="6621" spans="9:10" x14ac:dyDescent="0.3">
      <c r="I6621" s="72">
        <v>3309.5</v>
      </c>
      <c r="J6621" s="70">
        <v>1</v>
      </c>
    </row>
    <row r="6622" spans="9:10" x14ac:dyDescent="0.3">
      <c r="I6622" s="72">
        <v>3310</v>
      </c>
      <c r="J6622" s="70">
        <v>1</v>
      </c>
    </row>
    <row r="6623" spans="9:10" x14ac:dyDescent="0.3">
      <c r="I6623" s="72">
        <v>3310.5</v>
      </c>
      <c r="J6623" s="70">
        <v>1</v>
      </c>
    </row>
    <row r="6624" spans="9:10" x14ac:dyDescent="0.3">
      <c r="I6624" s="72">
        <v>3311</v>
      </c>
      <c r="J6624" s="70">
        <v>1</v>
      </c>
    </row>
    <row r="6625" spans="9:10" x14ac:dyDescent="0.3">
      <c r="I6625" s="72">
        <v>3311.5</v>
      </c>
      <c r="J6625" s="70">
        <v>1</v>
      </c>
    </row>
    <row r="6626" spans="9:10" x14ac:dyDescent="0.3">
      <c r="I6626" s="72">
        <v>3312</v>
      </c>
      <c r="J6626" s="70">
        <v>1</v>
      </c>
    </row>
    <row r="6627" spans="9:10" x14ac:dyDescent="0.3">
      <c r="I6627" s="72">
        <v>3312.5</v>
      </c>
      <c r="J6627" s="70">
        <v>1</v>
      </c>
    </row>
    <row r="6628" spans="9:10" x14ac:dyDescent="0.3">
      <c r="I6628" s="72">
        <v>3313</v>
      </c>
      <c r="J6628" s="70">
        <v>1</v>
      </c>
    </row>
    <row r="6629" spans="9:10" x14ac:dyDescent="0.3">
      <c r="I6629" s="72">
        <v>3313.5</v>
      </c>
      <c r="J6629" s="70">
        <v>1</v>
      </c>
    </row>
    <row r="6630" spans="9:10" x14ac:dyDescent="0.3">
      <c r="I6630" s="72">
        <v>3314</v>
      </c>
      <c r="J6630" s="70">
        <v>1</v>
      </c>
    </row>
    <row r="6631" spans="9:10" x14ac:dyDescent="0.3">
      <c r="I6631" s="72">
        <v>3314.5</v>
      </c>
      <c r="J6631" s="70">
        <v>1</v>
      </c>
    </row>
    <row r="6632" spans="9:10" x14ac:dyDescent="0.3">
      <c r="I6632" s="72">
        <v>3315</v>
      </c>
      <c r="J6632" s="70">
        <v>1</v>
      </c>
    </row>
    <row r="6633" spans="9:10" x14ac:dyDescent="0.3">
      <c r="I6633" s="72">
        <v>3315.5</v>
      </c>
      <c r="J6633" s="70">
        <v>1</v>
      </c>
    </row>
    <row r="6634" spans="9:10" x14ac:dyDescent="0.3">
      <c r="I6634" s="72">
        <v>3316</v>
      </c>
      <c r="J6634" s="70">
        <v>1</v>
      </c>
    </row>
    <row r="6635" spans="9:10" x14ac:dyDescent="0.3">
      <c r="I6635" s="72">
        <v>3316.5</v>
      </c>
      <c r="J6635" s="70">
        <v>1</v>
      </c>
    </row>
    <row r="6636" spans="9:10" x14ac:dyDescent="0.3">
      <c r="I6636" s="72">
        <v>3317</v>
      </c>
      <c r="J6636" s="70">
        <v>1</v>
      </c>
    </row>
    <row r="6637" spans="9:10" x14ac:dyDescent="0.3">
      <c r="I6637" s="72">
        <v>3317.5</v>
      </c>
      <c r="J6637" s="70">
        <v>1</v>
      </c>
    </row>
    <row r="6638" spans="9:10" x14ac:dyDescent="0.3">
      <c r="I6638" s="72">
        <v>3318</v>
      </c>
      <c r="J6638" s="70">
        <v>1</v>
      </c>
    </row>
    <row r="6639" spans="9:10" x14ac:dyDescent="0.3">
      <c r="I6639" s="72">
        <v>3318.5</v>
      </c>
      <c r="J6639" s="70">
        <v>1</v>
      </c>
    </row>
    <row r="6640" spans="9:10" x14ac:dyDescent="0.3">
      <c r="I6640" s="72">
        <v>3319</v>
      </c>
      <c r="J6640" s="70">
        <v>1</v>
      </c>
    </row>
    <row r="6641" spans="9:10" x14ac:dyDescent="0.3">
      <c r="I6641" s="72">
        <v>3319.5</v>
      </c>
      <c r="J6641" s="70">
        <v>1</v>
      </c>
    </row>
    <row r="6642" spans="9:10" x14ac:dyDescent="0.3">
      <c r="I6642" s="72">
        <v>3320</v>
      </c>
      <c r="J6642" s="70">
        <v>1</v>
      </c>
    </row>
    <row r="6643" spans="9:10" x14ac:dyDescent="0.3">
      <c r="I6643" s="72">
        <v>3320.5</v>
      </c>
      <c r="J6643" s="70">
        <v>1</v>
      </c>
    </row>
    <row r="6644" spans="9:10" x14ac:dyDescent="0.3">
      <c r="I6644" s="72">
        <v>3321</v>
      </c>
      <c r="J6644" s="70">
        <v>1</v>
      </c>
    </row>
    <row r="6645" spans="9:10" x14ac:dyDescent="0.3">
      <c r="I6645" s="72">
        <v>3321.5</v>
      </c>
      <c r="J6645" s="70">
        <v>1</v>
      </c>
    </row>
    <row r="6646" spans="9:10" x14ac:dyDescent="0.3">
      <c r="I6646" s="72">
        <v>3322</v>
      </c>
      <c r="J6646" s="70">
        <v>1</v>
      </c>
    </row>
    <row r="6647" spans="9:10" x14ac:dyDescent="0.3">
      <c r="I6647" s="72">
        <v>3322.5</v>
      </c>
      <c r="J6647" s="70">
        <v>1</v>
      </c>
    </row>
    <row r="6648" spans="9:10" x14ac:dyDescent="0.3">
      <c r="I6648" s="72">
        <v>3323</v>
      </c>
      <c r="J6648" s="70">
        <v>1</v>
      </c>
    </row>
    <row r="6649" spans="9:10" x14ac:dyDescent="0.3">
      <c r="I6649" s="72">
        <v>3323.5</v>
      </c>
      <c r="J6649" s="70">
        <v>1</v>
      </c>
    </row>
    <row r="6650" spans="9:10" x14ac:dyDescent="0.3">
      <c r="I6650" s="72">
        <v>3324</v>
      </c>
      <c r="J6650" s="70">
        <v>1</v>
      </c>
    </row>
    <row r="6651" spans="9:10" x14ac:dyDescent="0.3">
      <c r="I6651" s="72">
        <v>3324.5</v>
      </c>
      <c r="J6651" s="70">
        <v>1</v>
      </c>
    </row>
    <row r="6652" spans="9:10" x14ac:dyDescent="0.3">
      <c r="I6652" s="72">
        <v>3325</v>
      </c>
      <c r="J6652" s="70">
        <v>1</v>
      </c>
    </row>
    <row r="6653" spans="9:10" x14ac:dyDescent="0.3">
      <c r="I6653" s="72">
        <v>3325.5</v>
      </c>
      <c r="J6653" s="70">
        <v>1</v>
      </c>
    </row>
    <row r="6654" spans="9:10" x14ac:dyDescent="0.3">
      <c r="I6654" s="72">
        <v>3326</v>
      </c>
      <c r="J6654" s="70">
        <v>1</v>
      </c>
    </row>
    <row r="6655" spans="9:10" x14ac:dyDescent="0.3">
      <c r="I6655" s="72">
        <v>3326.5</v>
      </c>
      <c r="J6655" s="70">
        <v>1</v>
      </c>
    </row>
    <row r="6656" spans="9:10" x14ac:dyDescent="0.3">
      <c r="I6656" s="72">
        <v>3327</v>
      </c>
      <c r="J6656" s="70">
        <v>1</v>
      </c>
    </row>
    <row r="6657" spans="9:10" x14ac:dyDescent="0.3">
      <c r="I6657" s="72">
        <v>3327.5</v>
      </c>
      <c r="J6657" s="70">
        <v>1</v>
      </c>
    </row>
    <row r="6658" spans="9:10" x14ac:dyDescent="0.3">
      <c r="I6658" s="72">
        <v>3328</v>
      </c>
      <c r="J6658" s="70">
        <v>1</v>
      </c>
    </row>
    <row r="6659" spans="9:10" x14ac:dyDescent="0.3">
      <c r="I6659" s="72">
        <v>3328.5</v>
      </c>
      <c r="J6659" s="70">
        <v>1</v>
      </c>
    </row>
    <row r="6660" spans="9:10" x14ac:dyDescent="0.3">
      <c r="I6660" s="72">
        <v>3329</v>
      </c>
      <c r="J6660" s="70">
        <v>1</v>
      </c>
    </row>
    <row r="6661" spans="9:10" x14ac:dyDescent="0.3">
      <c r="I6661" s="72">
        <v>3329.5</v>
      </c>
      <c r="J6661" s="70">
        <v>1</v>
      </c>
    </row>
    <row r="6662" spans="9:10" x14ac:dyDescent="0.3">
      <c r="I6662" s="72">
        <v>3330</v>
      </c>
      <c r="J6662" s="70">
        <v>1</v>
      </c>
    </row>
    <row r="6663" spans="9:10" x14ac:dyDescent="0.3">
      <c r="I6663" s="72">
        <v>3330.5</v>
      </c>
      <c r="J6663" s="70">
        <v>1</v>
      </c>
    </row>
    <row r="6664" spans="9:10" x14ac:dyDescent="0.3">
      <c r="I6664" s="72">
        <v>3331</v>
      </c>
      <c r="J6664" s="70">
        <v>1</v>
      </c>
    </row>
    <row r="6665" spans="9:10" x14ac:dyDescent="0.3">
      <c r="I6665" s="72">
        <v>3331.5</v>
      </c>
      <c r="J6665" s="70">
        <v>1</v>
      </c>
    </row>
    <row r="6666" spans="9:10" x14ac:dyDescent="0.3">
      <c r="I6666" s="72">
        <v>3332</v>
      </c>
      <c r="J6666" s="70">
        <v>1</v>
      </c>
    </row>
    <row r="6667" spans="9:10" x14ac:dyDescent="0.3">
      <c r="I6667" s="72">
        <v>3332.5</v>
      </c>
      <c r="J6667" s="70">
        <v>1</v>
      </c>
    </row>
    <row r="6668" spans="9:10" x14ac:dyDescent="0.3">
      <c r="I6668" s="72">
        <v>3333</v>
      </c>
      <c r="J6668" s="70">
        <v>1</v>
      </c>
    </row>
    <row r="6669" spans="9:10" x14ac:dyDescent="0.3">
      <c r="I6669" s="72">
        <v>3333.5</v>
      </c>
      <c r="J6669" s="70">
        <v>1</v>
      </c>
    </row>
    <row r="6670" spans="9:10" x14ac:dyDescent="0.3">
      <c r="I6670" s="72">
        <v>3334</v>
      </c>
      <c r="J6670" s="70">
        <v>1</v>
      </c>
    </row>
    <row r="6671" spans="9:10" x14ac:dyDescent="0.3">
      <c r="I6671" s="72">
        <v>3334.5</v>
      </c>
      <c r="J6671" s="70">
        <v>1</v>
      </c>
    </row>
    <row r="6672" spans="9:10" x14ac:dyDescent="0.3">
      <c r="I6672" s="72">
        <v>3335</v>
      </c>
      <c r="J6672" s="70">
        <v>1</v>
      </c>
    </row>
    <row r="6673" spans="9:10" x14ac:dyDescent="0.3">
      <c r="I6673" s="72">
        <v>3335.5</v>
      </c>
      <c r="J6673" s="70">
        <v>1</v>
      </c>
    </row>
    <row r="6674" spans="9:10" x14ac:dyDescent="0.3">
      <c r="I6674" s="72">
        <v>3336</v>
      </c>
      <c r="J6674" s="70">
        <v>1</v>
      </c>
    </row>
    <row r="6675" spans="9:10" x14ac:dyDescent="0.3">
      <c r="I6675" s="72">
        <v>3336.5</v>
      </c>
      <c r="J6675" s="70">
        <v>1</v>
      </c>
    </row>
    <row r="6676" spans="9:10" x14ac:dyDescent="0.3">
      <c r="I6676" s="72">
        <v>3337</v>
      </c>
      <c r="J6676" s="70">
        <v>1</v>
      </c>
    </row>
    <row r="6677" spans="9:10" x14ac:dyDescent="0.3">
      <c r="I6677" s="72">
        <v>3337.5</v>
      </c>
      <c r="J6677" s="70">
        <v>1</v>
      </c>
    </row>
    <row r="6678" spans="9:10" x14ac:dyDescent="0.3">
      <c r="I6678" s="72">
        <v>3338</v>
      </c>
      <c r="J6678" s="70">
        <v>1</v>
      </c>
    </row>
    <row r="6679" spans="9:10" x14ac:dyDescent="0.3">
      <c r="I6679" s="72">
        <v>3338.5</v>
      </c>
      <c r="J6679" s="70">
        <v>1</v>
      </c>
    </row>
    <row r="6680" spans="9:10" x14ac:dyDescent="0.3">
      <c r="I6680" s="72">
        <v>3339</v>
      </c>
      <c r="J6680" s="70">
        <v>1</v>
      </c>
    </row>
    <row r="6681" spans="9:10" x14ac:dyDescent="0.3">
      <c r="I6681" s="72">
        <v>3339.5</v>
      </c>
      <c r="J6681" s="70">
        <v>1</v>
      </c>
    </row>
    <row r="6682" spans="9:10" x14ac:dyDescent="0.3">
      <c r="I6682" s="72">
        <v>3340</v>
      </c>
      <c r="J6682" s="70">
        <v>1</v>
      </c>
    </row>
    <row r="6683" spans="9:10" x14ac:dyDescent="0.3">
      <c r="I6683" s="72">
        <v>3340.5</v>
      </c>
      <c r="J6683" s="70">
        <v>1</v>
      </c>
    </row>
    <row r="6684" spans="9:10" x14ac:dyDescent="0.3">
      <c r="I6684" s="72">
        <v>3341</v>
      </c>
      <c r="J6684" s="70">
        <v>1</v>
      </c>
    </row>
    <row r="6685" spans="9:10" x14ac:dyDescent="0.3">
      <c r="I6685" s="72">
        <v>3341.5</v>
      </c>
      <c r="J6685" s="70">
        <v>1</v>
      </c>
    </row>
    <row r="6686" spans="9:10" x14ac:dyDescent="0.3">
      <c r="I6686" s="72">
        <v>3342</v>
      </c>
      <c r="J6686" s="70">
        <v>1</v>
      </c>
    </row>
    <row r="6687" spans="9:10" x14ac:dyDescent="0.3">
      <c r="I6687" s="72">
        <v>3342.5</v>
      </c>
      <c r="J6687" s="70">
        <v>1</v>
      </c>
    </row>
    <row r="6688" spans="9:10" x14ac:dyDescent="0.3">
      <c r="I6688" s="72">
        <v>3343</v>
      </c>
      <c r="J6688" s="70">
        <v>1</v>
      </c>
    </row>
    <row r="6689" spans="9:10" x14ac:dyDescent="0.3">
      <c r="I6689" s="72">
        <v>3343.5</v>
      </c>
      <c r="J6689" s="70">
        <v>1</v>
      </c>
    </row>
    <row r="6690" spans="9:10" x14ac:dyDescent="0.3">
      <c r="I6690" s="72">
        <v>3344</v>
      </c>
      <c r="J6690" s="70">
        <v>1</v>
      </c>
    </row>
    <row r="6691" spans="9:10" x14ac:dyDescent="0.3">
      <c r="I6691" s="72">
        <v>3344.5</v>
      </c>
      <c r="J6691" s="70">
        <v>1</v>
      </c>
    </row>
    <row r="6692" spans="9:10" x14ac:dyDescent="0.3">
      <c r="I6692" s="72">
        <v>3345</v>
      </c>
      <c r="J6692" s="70">
        <v>1</v>
      </c>
    </row>
    <row r="6693" spans="9:10" x14ac:dyDescent="0.3">
      <c r="I6693" s="72">
        <v>3345.5</v>
      </c>
      <c r="J6693" s="70">
        <v>1</v>
      </c>
    </row>
    <row r="6694" spans="9:10" x14ac:dyDescent="0.3">
      <c r="I6694" s="72">
        <v>3346</v>
      </c>
      <c r="J6694" s="70">
        <v>1</v>
      </c>
    </row>
    <row r="6695" spans="9:10" x14ac:dyDescent="0.3">
      <c r="I6695" s="72">
        <v>3346.5</v>
      </c>
      <c r="J6695" s="70">
        <v>1</v>
      </c>
    </row>
    <row r="6696" spans="9:10" x14ac:dyDescent="0.3">
      <c r="I6696" s="72">
        <v>3347</v>
      </c>
      <c r="J6696" s="70">
        <v>1</v>
      </c>
    </row>
    <row r="6697" spans="9:10" x14ac:dyDescent="0.3">
      <c r="I6697" s="72">
        <v>3347.5</v>
      </c>
      <c r="J6697" s="70">
        <v>1</v>
      </c>
    </row>
    <row r="6698" spans="9:10" x14ac:dyDescent="0.3">
      <c r="I6698" s="72">
        <v>3348</v>
      </c>
      <c r="J6698" s="70">
        <v>1</v>
      </c>
    </row>
    <row r="6699" spans="9:10" x14ac:dyDescent="0.3">
      <c r="I6699" s="72">
        <v>3348.5</v>
      </c>
      <c r="J6699" s="70">
        <v>1</v>
      </c>
    </row>
    <row r="6700" spans="9:10" x14ac:dyDescent="0.3">
      <c r="I6700" s="72">
        <v>3349</v>
      </c>
      <c r="J6700" s="70">
        <v>1</v>
      </c>
    </row>
    <row r="6701" spans="9:10" x14ac:dyDescent="0.3">
      <c r="I6701" s="72">
        <v>3349.5</v>
      </c>
      <c r="J6701" s="70">
        <v>1</v>
      </c>
    </row>
    <row r="6702" spans="9:10" x14ac:dyDescent="0.3">
      <c r="I6702" s="72">
        <v>3350</v>
      </c>
      <c r="J6702" s="70">
        <v>1</v>
      </c>
    </row>
    <row r="6703" spans="9:10" x14ac:dyDescent="0.3">
      <c r="I6703" s="72">
        <v>3350.5</v>
      </c>
      <c r="J6703" s="70">
        <v>1</v>
      </c>
    </row>
    <row r="6704" spans="9:10" x14ac:dyDescent="0.3">
      <c r="I6704" s="72">
        <v>3351</v>
      </c>
      <c r="J6704" s="70">
        <v>1</v>
      </c>
    </row>
    <row r="6705" spans="9:10" x14ac:dyDescent="0.3">
      <c r="I6705" s="72">
        <v>3351.5</v>
      </c>
      <c r="J6705" s="70">
        <v>1</v>
      </c>
    </row>
    <row r="6706" spans="9:10" x14ac:dyDescent="0.3">
      <c r="I6706" s="72">
        <v>3352</v>
      </c>
      <c r="J6706" s="70">
        <v>1</v>
      </c>
    </row>
    <row r="6707" spans="9:10" x14ac:dyDescent="0.3">
      <c r="I6707" s="72">
        <v>3352.5</v>
      </c>
      <c r="J6707" s="70">
        <v>1</v>
      </c>
    </row>
    <row r="6708" spans="9:10" x14ac:dyDescent="0.3">
      <c r="I6708" s="72">
        <v>3353</v>
      </c>
      <c r="J6708" s="70">
        <v>1</v>
      </c>
    </row>
    <row r="6709" spans="9:10" x14ac:dyDescent="0.3">
      <c r="I6709" s="72">
        <v>3353.5</v>
      </c>
      <c r="J6709" s="70">
        <v>1</v>
      </c>
    </row>
    <row r="6710" spans="9:10" x14ac:dyDescent="0.3">
      <c r="I6710" s="72">
        <v>3354</v>
      </c>
      <c r="J6710" s="70">
        <v>1</v>
      </c>
    </row>
    <row r="6711" spans="9:10" x14ac:dyDescent="0.3">
      <c r="I6711" s="72">
        <v>3354.5</v>
      </c>
      <c r="J6711" s="70">
        <v>1</v>
      </c>
    </row>
    <row r="6712" spans="9:10" x14ac:dyDescent="0.3">
      <c r="I6712" s="72">
        <v>3355</v>
      </c>
      <c r="J6712" s="70">
        <v>1</v>
      </c>
    </row>
    <row r="6713" spans="9:10" x14ac:dyDescent="0.3">
      <c r="I6713" s="72">
        <v>3355.5</v>
      </c>
      <c r="J6713" s="70">
        <v>1</v>
      </c>
    </row>
    <row r="6714" spans="9:10" x14ac:dyDescent="0.3">
      <c r="I6714" s="72">
        <v>3356</v>
      </c>
      <c r="J6714" s="70">
        <v>1</v>
      </c>
    </row>
    <row r="6715" spans="9:10" x14ac:dyDescent="0.3">
      <c r="I6715" s="72">
        <v>3356.5</v>
      </c>
      <c r="J6715" s="70">
        <v>1</v>
      </c>
    </row>
    <row r="6716" spans="9:10" x14ac:dyDescent="0.3">
      <c r="I6716" s="72">
        <v>3357</v>
      </c>
      <c r="J6716" s="70">
        <v>1</v>
      </c>
    </row>
    <row r="6717" spans="9:10" x14ac:dyDescent="0.3">
      <c r="I6717" s="72">
        <v>3357.5</v>
      </c>
      <c r="J6717" s="70">
        <v>1</v>
      </c>
    </row>
    <row r="6718" spans="9:10" x14ac:dyDescent="0.3">
      <c r="I6718" s="72">
        <v>3358</v>
      </c>
      <c r="J6718" s="70">
        <v>1</v>
      </c>
    </row>
    <row r="6719" spans="9:10" x14ac:dyDescent="0.3">
      <c r="I6719" s="72">
        <v>3358.5</v>
      </c>
      <c r="J6719" s="70">
        <v>1</v>
      </c>
    </row>
    <row r="6720" spans="9:10" x14ac:dyDescent="0.3">
      <c r="I6720" s="72">
        <v>3359</v>
      </c>
      <c r="J6720" s="70">
        <v>1</v>
      </c>
    </row>
    <row r="6721" spans="9:10" x14ac:dyDescent="0.3">
      <c r="I6721" s="72">
        <v>3359.5</v>
      </c>
      <c r="J6721" s="70">
        <v>1</v>
      </c>
    </row>
    <row r="6722" spans="9:10" x14ac:dyDescent="0.3">
      <c r="I6722" s="72">
        <v>3360</v>
      </c>
      <c r="J6722" s="70">
        <v>1</v>
      </c>
    </row>
    <row r="6723" spans="9:10" x14ac:dyDescent="0.3">
      <c r="I6723" s="72">
        <v>3360.5</v>
      </c>
      <c r="J6723" s="70">
        <v>1</v>
      </c>
    </row>
    <row r="6724" spans="9:10" x14ac:dyDescent="0.3">
      <c r="I6724" s="72">
        <v>3361</v>
      </c>
      <c r="J6724" s="70">
        <v>1</v>
      </c>
    </row>
    <row r="6725" spans="9:10" x14ac:dyDescent="0.3">
      <c r="I6725" s="72">
        <v>3361.5</v>
      </c>
      <c r="J6725" s="70">
        <v>1</v>
      </c>
    </row>
    <row r="6726" spans="9:10" x14ac:dyDescent="0.3">
      <c r="I6726" s="72">
        <v>3362</v>
      </c>
      <c r="J6726" s="70">
        <v>1</v>
      </c>
    </row>
    <row r="6727" spans="9:10" x14ac:dyDescent="0.3">
      <c r="I6727" s="72">
        <v>3362.5</v>
      </c>
      <c r="J6727" s="70">
        <v>1</v>
      </c>
    </row>
    <row r="6728" spans="9:10" x14ac:dyDescent="0.3">
      <c r="I6728" s="72">
        <v>3363</v>
      </c>
      <c r="J6728" s="70">
        <v>1</v>
      </c>
    </row>
    <row r="6729" spans="9:10" x14ac:dyDescent="0.3">
      <c r="I6729" s="72">
        <v>3363.5</v>
      </c>
      <c r="J6729" s="70">
        <v>1</v>
      </c>
    </row>
    <row r="6730" spans="9:10" x14ac:dyDescent="0.3">
      <c r="I6730" s="72">
        <v>3364</v>
      </c>
      <c r="J6730" s="70">
        <v>1</v>
      </c>
    </row>
    <row r="6731" spans="9:10" x14ac:dyDescent="0.3">
      <c r="I6731" s="72">
        <v>3364.5</v>
      </c>
      <c r="J6731" s="70">
        <v>1</v>
      </c>
    </row>
    <row r="6732" spans="9:10" x14ac:dyDescent="0.3">
      <c r="I6732" s="72">
        <v>3365</v>
      </c>
      <c r="J6732" s="70">
        <v>1</v>
      </c>
    </row>
    <row r="6733" spans="9:10" x14ac:dyDescent="0.3">
      <c r="I6733" s="72">
        <v>3365.5</v>
      </c>
      <c r="J6733" s="70">
        <v>1</v>
      </c>
    </row>
    <row r="6734" spans="9:10" x14ac:dyDescent="0.3">
      <c r="I6734" s="72">
        <v>3366</v>
      </c>
      <c r="J6734" s="70">
        <v>1</v>
      </c>
    </row>
    <row r="6735" spans="9:10" x14ac:dyDescent="0.3">
      <c r="I6735" s="72">
        <v>3366.5</v>
      </c>
      <c r="J6735" s="70">
        <v>1</v>
      </c>
    </row>
    <row r="6736" spans="9:10" x14ac:dyDescent="0.3">
      <c r="I6736" s="72">
        <v>3367</v>
      </c>
      <c r="J6736" s="70">
        <v>1</v>
      </c>
    </row>
    <row r="6737" spans="9:10" x14ac:dyDescent="0.3">
      <c r="I6737" s="72">
        <v>3367.5</v>
      </c>
      <c r="J6737" s="70">
        <v>1</v>
      </c>
    </row>
    <row r="6738" spans="9:10" x14ac:dyDescent="0.3">
      <c r="I6738" s="72">
        <v>3368</v>
      </c>
      <c r="J6738" s="70">
        <v>1</v>
      </c>
    </row>
    <row r="6739" spans="9:10" x14ac:dyDescent="0.3">
      <c r="I6739" s="72">
        <v>3368.5</v>
      </c>
      <c r="J6739" s="70">
        <v>1</v>
      </c>
    </row>
    <row r="6740" spans="9:10" x14ac:dyDescent="0.3">
      <c r="I6740" s="72">
        <v>3369</v>
      </c>
      <c r="J6740" s="70">
        <v>1</v>
      </c>
    </row>
    <row r="6741" spans="9:10" x14ac:dyDescent="0.3">
      <c r="I6741" s="72">
        <v>3369.5</v>
      </c>
      <c r="J6741" s="70">
        <v>1</v>
      </c>
    </row>
    <row r="6742" spans="9:10" x14ac:dyDescent="0.3">
      <c r="I6742" s="72">
        <v>3370</v>
      </c>
      <c r="J6742" s="70">
        <v>1</v>
      </c>
    </row>
    <row r="6743" spans="9:10" x14ac:dyDescent="0.3">
      <c r="I6743" s="72">
        <v>3370.5</v>
      </c>
      <c r="J6743" s="70">
        <v>1</v>
      </c>
    </row>
    <row r="6744" spans="9:10" x14ac:dyDescent="0.3">
      <c r="I6744" s="72">
        <v>3371</v>
      </c>
      <c r="J6744" s="70">
        <v>1</v>
      </c>
    </row>
    <row r="6745" spans="9:10" x14ac:dyDescent="0.3">
      <c r="I6745" s="72">
        <v>3371.5</v>
      </c>
      <c r="J6745" s="70">
        <v>1</v>
      </c>
    </row>
    <row r="6746" spans="9:10" x14ac:dyDescent="0.3">
      <c r="I6746" s="72">
        <v>3372</v>
      </c>
      <c r="J6746" s="70">
        <v>1</v>
      </c>
    </row>
    <row r="6747" spans="9:10" x14ac:dyDescent="0.3">
      <c r="I6747" s="72">
        <v>3372.5</v>
      </c>
      <c r="J6747" s="70">
        <v>1</v>
      </c>
    </row>
    <row r="6748" spans="9:10" x14ac:dyDescent="0.3">
      <c r="I6748" s="72">
        <v>3373</v>
      </c>
      <c r="J6748" s="70">
        <v>1</v>
      </c>
    </row>
    <row r="6749" spans="9:10" x14ac:dyDescent="0.3">
      <c r="I6749" s="72">
        <v>3373.5</v>
      </c>
      <c r="J6749" s="70">
        <v>1</v>
      </c>
    </row>
    <row r="6750" spans="9:10" x14ac:dyDescent="0.3">
      <c r="I6750" s="72">
        <v>3374</v>
      </c>
      <c r="J6750" s="70">
        <v>1</v>
      </c>
    </row>
    <row r="6751" spans="9:10" x14ac:dyDescent="0.3">
      <c r="I6751" s="72">
        <v>3374.5</v>
      </c>
      <c r="J6751" s="70">
        <v>1</v>
      </c>
    </row>
    <row r="6752" spans="9:10" x14ac:dyDescent="0.3">
      <c r="I6752" s="72">
        <v>3375</v>
      </c>
      <c r="J6752" s="70">
        <v>1</v>
      </c>
    </row>
    <row r="6753" spans="9:10" x14ac:dyDescent="0.3">
      <c r="I6753" s="72">
        <v>3375.5</v>
      </c>
      <c r="J6753" s="70">
        <v>1</v>
      </c>
    </row>
    <row r="6754" spans="9:10" x14ac:dyDescent="0.3">
      <c r="I6754" s="72">
        <v>3376</v>
      </c>
      <c r="J6754" s="70">
        <v>1</v>
      </c>
    </row>
    <row r="6755" spans="9:10" x14ac:dyDescent="0.3">
      <c r="I6755" s="72">
        <v>3376.5</v>
      </c>
      <c r="J6755" s="70">
        <v>1</v>
      </c>
    </row>
    <row r="6756" spans="9:10" x14ac:dyDescent="0.3">
      <c r="I6756" s="72">
        <v>3377</v>
      </c>
      <c r="J6756" s="70">
        <v>1</v>
      </c>
    </row>
    <row r="6757" spans="9:10" x14ac:dyDescent="0.3">
      <c r="I6757" s="72">
        <v>3377.5</v>
      </c>
      <c r="J6757" s="70">
        <v>1</v>
      </c>
    </row>
    <row r="6758" spans="9:10" x14ac:dyDescent="0.3">
      <c r="I6758" s="72">
        <v>3378</v>
      </c>
      <c r="J6758" s="70">
        <v>1</v>
      </c>
    </row>
    <row r="6759" spans="9:10" x14ac:dyDescent="0.3">
      <c r="I6759" s="72">
        <v>3378.5</v>
      </c>
      <c r="J6759" s="70">
        <v>1</v>
      </c>
    </row>
    <row r="6760" spans="9:10" x14ac:dyDescent="0.3">
      <c r="I6760" s="72">
        <v>3379</v>
      </c>
      <c r="J6760" s="70">
        <v>1</v>
      </c>
    </row>
    <row r="6761" spans="9:10" x14ac:dyDescent="0.3">
      <c r="I6761" s="72">
        <v>3379.5</v>
      </c>
      <c r="J6761" s="70">
        <v>1</v>
      </c>
    </row>
    <row r="6762" spans="9:10" x14ac:dyDescent="0.3">
      <c r="I6762" s="72">
        <v>3380</v>
      </c>
      <c r="J6762" s="70">
        <v>1</v>
      </c>
    </row>
    <row r="6763" spans="9:10" x14ac:dyDescent="0.3">
      <c r="I6763" s="72">
        <v>3380.5</v>
      </c>
      <c r="J6763" s="70">
        <v>1</v>
      </c>
    </row>
    <row r="6764" spans="9:10" x14ac:dyDescent="0.3">
      <c r="I6764" s="72">
        <v>3381</v>
      </c>
      <c r="J6764" s="70">
        <v>1</v>
      </c>
    </row>
    <row r="6765" spans="9:10" x14ac:dyDescent="0.3">
      <c r="I6765" s="72">
        <v>3381.5</v>
      </c>
      <c r="J6765" s="70">
        <v>1</v>
      </c>
    </row>
    <row r="6766" spans="9:10" x14ac:dyDescent="0.3">
      <c r="I6766" s="72">
        <v>3382</v>
      </c>
      <c r="J6766" s="70">
        <v>1</v>
      </c>
    </row>
    <row r="6767" spans="9:10" x14ac:dyDescent="0.3">
      <c r="I6767" s="72">
        <v>3382.5</v>
      </c>
      <c r="J6767" s="70">
        <v>1</v>
      </c>
    </row>
    <row r="6768" spans="9:10" x14ac:dyDescent="0.3">
      <c r="I6768" s="72">
        <v>3383</v>
      </c>
      <c r="J6768" s="70">
        <v>1</v>
      </c>
    </row>
    <row r="6769" spans="9:10" x14ac:dyDescent="0.3">
      <c r="I6769" s="72">
        <v>3383.5</v>
      </c>
      <c r="J6769" s="70">
        <v>1</v>
      </c>
    </row>
    <row r="6770" spans="9:10" x14ac:dyDescent="0.3">
      <c r="I6770" s="72">
        <v>3384</v>
      </c>
      <c r="J6770" s="70">
        <v>1</v>
      </c>
    </row>
    <row r="6771" spans="9:10" x14ac:dyDescent="0.3">
      <c r="I6771" s="72">
        <v>3384.5</v>
      </c>
      <c r="J6771" s="70">
        <v>1</v>
      </c>
    </row>
    <row r="6772" spans="9:10" x14ac:dyDescent="0.3">
      <c r="I6772" s="72">
        <v>3385</v>
      </c>
      <c r="J6772" s="70">
        <v>1</v>
      </c>
    </row>
    <row r="6773" spans="9:10" x14ac:dyDescent="0.3">
      <c r="I6773" s="72">
        <v>3385.5</v>
      </c>
      <c r="J6773" s="70">
        <v>1</v>
      </c>
    </row>
    <row r="6774" spans="9:10" x14ac:dyDescent="0.3">
      <c r="I6774" s="72">
        <v>3386</v>
      </c>
      <c r="J6774" s="70">
        <v>1</v>
      </c>
    </row>
    <row r="6775" spans="9:10" x14ac:dyDescent="0.3">
      <c r="I6775" s="72">
        <v>3386.5</v>
      </c>
      <c r="J6775" s="70">
        <v>1</v>
      </c>
    </row>
    <row r="6776" spans="9:10" x14ac:dyDescent="0.3">
      <c r="I6776" s="72">
        <v>3387</v>
      </c>
      <c r="J6776" s="70">
        <v>1</v>
      </c>
    </row>
    <row r="6777" spans="9:10" x14ac:dyDescent="0.3">
      <c r="I6777" s="72">
        <v>3387.5</v>
      </c>
      <c r="J6777" s="70">
        <v>1</v>
      </c>
    </row>
    <row r="6778" spans="9:10" x14ac:dyDescent="0.3">
      <c r="I6778" s="72">
        <v>3388</v>
      </c>
      <c r="J6778" s="70">
        <v>1</v>
      </c>
    </row>
    <row r="6779" spans="9:10" x14ac:dyDescent="0.3">
      <c r="I6779" s="72">
        <v>3388.5</v>
      </c>
      <c r="J6779" s="70">
        <v>1</v>
      </c>
    </row>
    <row r="6780" spans="9:10" x14ac:dyDescent="0.3">
      <c r="I6780" s="72">
        <v>3389</v>
      </c>
      <c r="J6780" s="70">
        <v>1</v>
      </c>
    </row>
    <row r="6781" spans="9:10" x14ac:dyDescent="0.3">
      <c r="I6781" s="72">
        <v>3389.5</v>
      </c>
      <c r="J6781" s="70">
        <v>1</v>
      </c>
    </row>
    <row r="6782" spans="9:10" x14ac:dyDescent="0.3">
      <c r="I6782" s="72">
        <v>3390</v>
      </c>
      <c r="J6782" s="70">
        <v>1</v>
      </c>
    </row>
    <row r="6783" spans="9:10" x14ac:dyDescent="0.3">
      <c r="I6783" s="72">
        <v>3390.5</v>
      </c>
      <c r="J6783" s="70">
        <v>1</v>
      </c>
    </row>
    <row r="6784" spans="9:10" x14ac:dyDescent="0.3">
      <c r="I6784" s="72">
        <v>3391</v>
      </c>
      <c r="J6784" s="70">
        <v>1</v>
      </c>
    </row>
    <row r="6785" spans="9:10" x14ac:dyDescent="0.3">
      <c r="I6785" s="72">
        <v>3391.5</v>
      </c>
      <c r="J6785" s="70">
        <v>1</v>
      </c>
    </row>
    <row r="6786" spans="9:10" x14ac:dyDescent="0.3">
      <c r="I6786" s="72">
        <v>3392</v>
      </c>
      <c r="J6786" s="70">
        <v>1</v>
      </c>
    </row>
    <row r="6787" spans="9:10" x14ac:dyDescent="0.3">
      <c r="I6787" s="72">
        <v>3392.5</v>
      </c>
      <c r="J6787" s="70">
        <v>1</v>
      </c>
    </row>
    <row r="6788" spans="9:10" x14ac:dyDescent="0.3">
      <c r="I6788" s="72">
        <v>3393</v>
      </c>
      <c r="J6788" s="70">
        <v>1</v>
      </c>
    </row>
    <row r="6789" spans="9:10" x14ac:dyDescent="0.3">
      <c r="I6789" s="72">
        <v>3393.5</v>
      </c>
      <c r="J6789" s="70">
        <v>1</v>
      </c>
    </row>
    <row r="6790" spans="9:10" x14ac:dyDescent="0.3">
      <c r="I6790" s="72">
        <v>3394</v>
      </c>
      <c r="J6790" s="70">
        <v>1</v>
      </c>
    </row>
    <row r="6791" spans="9:10" x14ac:dyDescent="0.3">
      <c r="I6791" s="72">
        <v>3394.5</v>
      </c>
      <c r="J6791" s="70">
        <v>1</v>
      </c>
    </row>
    <row r="6792" spans="9:10" x14ac:dyDescent="0.3">
      <c r="I6792" s="72">
        <v>3395</v>
      </c>
      <c r="J6792" s="70">
        <v>1</v>
      </c>
    </row>
    <row r="6793" spans="9:10" x14ac:dyDescent="0.3">
      <c r="I6793" s="72">
        <v>3395.5</v>
      </c>
      <c r="J6793" s="70">
        <v>1</v>
      </c>
    </row>
    <row r="6794" spans="9:10" x14ac:dyDescent="0.3">
      <c r="I6794" s="72">
        <v>3396</v>
      </c>
      <c r="J6794" s="70">
        <v>1</v>
      </c>
    </row>
    <row r="6795" spans="9:10" x14ac:dyDescent="0.3">
      <c r="I6795" s="72">
        <v>3396.5</v>
      </c>
      <c r="J6795" s="70">
        <v>1</v>
      </c>
    </row>
    <row r="6796" spans="9:10" x14ac:dyDescent="0.3">
      <c r="I6796" s="72">
        <v>3397</v>
      </c>
      <c r="J6796" s="70">
        <v>1</v>
      </c>
    </row>
    <row r="6797" spans="9:10" x14ac:dyDescent="0.3">
      <c r="I6797" s="72">
        <v>3397.5</v>
      </c>
      <c r="J6797" s="70">
        <v>1</v>
      </c>
    </row>
    <row r="6798" spans="9:10" x14ac:dyDescent="0.3">
      <c r="I6798" s="72">
        <v>3398</v>
      </c>
      <c r="J6798" s="70">
        <v>1</v>
      </c>
    </row>
    <row r="6799" spans="9:10" x14ac:dyDescent="0.3">
      <c r="I6799" s="72">
        <v>3398.5</v>
      </c>
      <c r="J6799" s="70">
        <v>1</v>
      </c>
    </row>
    <row r="6800" spans="9:10" x14ac:dyDescent="0.3">
      <c r="I6800" s="72">
        <v>3399</v>
      </c>
      <c r="J6800" s="70">
        <v>1</v>
      </c>
    </row>
    <row r="6801" spans="9:10" x14ac:dyDescent="0.3">
      <c r="I6801" s="72">
        <v>3399.5</v>
      </c>
      <c r="J6801" s="70">
        <v>1</v>
      </c>
    </row>
    <row r="6802" spans="9:10" x14ac:dyDescent="0.3">
      <c r="I6802" s="72">
        <v>3400</v>
      </c>
      <c r="J6802" s="70">
        <v>1</v>
      </c>
    </row>
    <row r="6803" spans="9:10" x14ac:dyDescent="0.3">
      <c r="I6803" s="72">
        <v>3400.5</v>
      </c>
      <c r="J6803" s="70">
        <v>1</v>
      </c>
    </row>
    <row r="6804" spans="9:10" x14ac:dyDescent="0.3">
      <c r="I6804" s="72">
        <v>3401</v>
      </c>
      <c r="J6804" s="70">
        <v>1</v>
      </c>
    </row>
    <row r="6805" spans="9:10" x14ac:dyDescent="0.3">
      <c r="I6805" s="72">
        <v>3401.5</v>
      </c>
      <c r="J6805" s="70">
        <v>1</v>
      </c>
    </row>
    <row r="6806" spans="9:10" x14ac:dyDescent="0.3">
      <c r="I6806" s="72">
        <v>3402</v>
      </c>
      <c r="J6806" s="70">
        <v>1</v>
      </c>
    </row>
    <row r="6807" spans="9:10" x14ac:dyDescent="0.3">
      <c r="I6807" s="72">
        <v>3402.5</v>
      </c>
      <c r="J6807" s="70">
        <v>1</v>
      </c>
    </row>
    <row r="6808" spans="9:10" x14ac:dyDescent="0.3">
      <c r="I6808" s="72">
        <v>3403</v>
      </c>
      <c r="J6808" s="70">
        <v>1</v>
      </c>
    </row>
    <row r="6809" spans="9:10" x14ac:dyDescent="0.3">
      <c r="I6809" s="72">
        <v>3403.5</v>
      </c>
      <c r="J6809" s="70">
        <v>1</v>
      </c>
    </row>
    <row r="6810" spans="9:10" x14ac:dyDescent="0.3">
      <c r="I6810" s="72">
        <v>3404</v>
      </c>
      <c r="J6810" s="70">
        <v>1</v>
      </c>
    </row>
    <row r="6811" spans="9:10" x14ac:dyDescent="0.3">
      <c r="I6811" s="72">
        <v>3404.5</v>
      </c>
      <c r="J6811" s="70">
        <v>1</v>
      </c>
    </row>
    <row r="6812" spans="9:10" x14ac:dyDescent="0.3">
      <c r="I6812" s="72">
        <v>3405</v>
      </c>
      <c r="J6812" s="70">
        <v>1</v>
      </c>
    </row>
    <row r="6813" spans="9:10" x14ac:dyDescent="0.3">
      <c r="I6813" s="72">
        <v>3405.5</v>
      </c>
      <c r="J6813" s="70">
        <v>1</v>
      </c>
    </row>
    <row r="6814" spans="9:10" x14ac:dyDescent="0.3">
      <c r="I6814" s="72">
        <v>3406</v>
      </c>
      <c r="J6814" s="70">
        <v>1</v>
      </c>
    </row>
    <row r="6815" spans="9:10" x14ac:dyDescent="0.3">
      <c r="I6815" s="72">
        <v>3406.5</v>
      </c>
      <c r="J6815" s="70">
        <v>1</v>
      </c>
    </row>
    <row r="6816" spans="9:10" x14ac:dyDescent="0.3">
      <c r="I6816" s="72">
        <v>3407</v>
      </c>
      <c r="J6816" s="70">
        <v>1</v>
      </c>
    </row>
    <row r="6817" spans="9:10" x14ac:dyDescent="0.3">
      <c r="I6817" s="72">
        <v>3407.5</v>
      </c>
      <c r="J6817" s="70">
        <v>1</v>
      </c>
    </row>
    <row r="6818" spans="9:10" x14ac:dyDescent="0.3">
      <c r="I6818" s="72">
        <v>3408</v>
      </c>
      <c r="J6818" s="70">
        <v>1</v>
      </c>
    </row>
    <row r="6819" spans="9:10" x14ac:dyDescent="0.3">
      <c r="I6819" s="72">
        <v>3408.5</v>
      </c>
      <c r="J6819" s="70">
        <v>1</v>
      </c>
    </row>
    <row r="6820" spans="9:10" x14ac:dyDescent="0.3">
      <c r="I6820" s="72">
        <v>3409</v>
      </c>
      <c r="J6820" s="70">
        <v>1</v>
      </c>
    </row>
    <row r="6821" spans="9:10" x14ac:dyDescent="0.3">
      <c r="I6821" s="72">
        <v>3409.5</v>
      </c>
      <c r="J6821" s="70">
        <v>1</v>
      </c>
    </row>
    <row r="6822" spans="9:10" x14ac:dyDescent="0.3">
      <c r="I6822" s="72">
        <v>3410</v>
      </c>
      <c r="J6822" s="70">
        <v>1</v>
      </c>
    </row>
    <row r="6823" spans="9:10" x14ac:dyDescent="0.3">
      <c r="I6823" s="72">
        <v>3410.5</v>
      </c>
      <c r="J6823" s="70">
        <v>1</v>
      </c>
    </row>
    <row r="6824" spans="9:10" x14ac:dyDescent="0.3">
      <c r="I6824" s="72">
        <v>3411</v>
      </c>
      <c r="J6824" s="70">
        <v>1</v>
      </c>
    </row>
    <row r="6825" spans="9:10" x14ac:dyDescent="0.3">
      <c r="I6825" s="72">
        <v>3411.5</v>
      </c>
      <c r="J6825" s="70">
        <v>1</v>
      </c>
    </row>
    <row r="6826" spans="9:10" x14ac:dyDescent="0.3">
      <c r="I6826" s="72">
        <v>3412</v>
      </c>
      <c r="J6826" s="70">
        <v>1</v>
      </c>
    </row>
    <row r="6827" spans="9:10" x14ac:dyDescent="0.3">
      <c r="I6827" s="72">
        <v>3412.5</v>
      </c>
      <c r="J6827" s="70">
        <v>1</v>
      </c>
    </row>
    <row r="6828" spans="9:10" x14ac:dyDescent="0.3">
      <c r="I6828" s="72">
        <v>3413</v>
      </c>
      <c r="J6828" s="70">
        <v>1</v>
      </c>
    </row>
    <row r="6829" spans="9:10" x14ac:dyDescent="0.3">
      <c r="I6829" s="72">
        <v>3413.5</v>
      </c>
      <c r="J6829" s="70">
        <v>1</v>
      </c>
    </row>
    <row r="6830" spans="9:10" x14ac:dyDescent="0.3">
      <c r="I6830" s="72">
        <v>3414</v>
      </c>
      <c r="J6830" s="70">
        <v>1</v>
      </c>
    </row>
    <row r="6831" spans="9:10" x14ac:dyDescent="0.3">
      <c r="I6831" s="72">
        <v>3414.5</v>
      </c>
      <c r="J6831" s="70">
        <v>1</v>
      </c>
    </row>
    <row r="6832" spans="9:10" x14ac:dyDescent="0.3">
      <c r="I6832" s="72">
        <v>3415</v>
      </c>
      <c r="J6832" s="70">
        <v>1</v>
      </c>
    </row>
    <row r="6833" spans="9:10" x14ac:dyDescent="0.3">
      <c r="I6833" s="72">
        <v>3415.5</v>
      </c>
      <c r="J6833" s="70">
        <v>1</v>
      </c>
    </row>
    <row r="6834" spans="9:10" x14ac:dyDescent="0.3">
      <c r="I6834" s="72">
        <v>3416</v>
      </c>
      <c r="J6834" s="70">
        <v>1</v>
      </c>
    </row>
    <row r="6835" spans="9:10" x14ac:dyDescent="0.3">
      <c r="I6835" s="72">
        <v>3416.5</v>
      </c>
      <c r="J6835" s="70">
        <v>1</v>
      </c>
    </row>
    <row r="6836" spans="9:10" x14ac:dyDescent="0.3">
      <c r="I6836" s="72">
        <v>3417</v>
      </c>
      <c r="J6836" s="70">
        <v>1</v>
      </c>
    </row>
    <row r="6837" spans="9:10" x14ac:dyDescent="0.3">
      <c r="I6837" s="72">
        <v>3417.5</v>
      </c>
      <c r="J6837" s="70">
        <v>1</v>
      </c>
    </row>
    <row r="6838" spans="9:10" x14ac:dyDescent="0.3">
      <c r="I6838" s="72">
        <v>3418</v>
      </c>
      <c r="J6838" s="70">
        <v>1</v>
      </c>
    </row>
    <row r="6839" spans="9:10" x14ac:dyDescent="0.3">
      <c r="I6839" s="72">
        <v>3418.5</v>
      </c>
      <c r="J6839" s="70">
        <v>1</v>
      </c>
    </row>
    <row r="6840" spans="9:10" x14ac:dyDescent="0.3">
      <c r="I6840" s="72">
        <v>3419</v>
      </c>
      <c r="J6840" s="70">
        <v>1</v>
      </c>
    </row>
    <row r="6841" spans="9:10" x14ac:dyDescent="0.3">
      <c r="I6841" s="72">
        <v>3419.5</v>
      </c>
      <c r="J6841" s="70">
        <v>1</v>
      </c>
    </row>
    <row r="6842" spans="9:10" x14ac:dyDescent="0.3">
      <c r="I6842" s="72">
        <v>3420</v>
      </c>
      <c r="J6842" s="70">
        <v>1</v>
      </c>
    </row>
    <row r="6843" spans="9:10" x14ac:dyDescent="0.3">
      <c r="I6843" s="72">
        <v>3420.5</v>
      </c>
      <c r="J6843" s="70">
        <v>1</v>
      </c>
    </row>
    <row r="6844" spans="9:10" x14ac:dyDescent="0.3">
      <c r="I6844" s="72">
        <v>3421</v>
      </c>
      <c r="J6844" s="70">
        <v>1</v>
      </c>
    </row>
    <row r="6845" spans="9:10" x14ac:dyDescent="0.3">
      <c r="I6845" s="72">
        <v>3421.5</v>
      </c>
      <c r="J6845" s="70">
        <v>1</v>
      </c>
    </row>
    <row r="6846" spans="9:10" x14ac:dyDescent="0.3">
      <c r="I6846" s="72">
        <v>3422</v>
      </c>
      <c r="J6846" s="70">
        <v>1</v>
      </c>
    </row>
    <row r="6847" spans="9:10" x14ac:dyDescent="0.3">
      <c r="I6847" s="72">
        <v>3422.5</v>
      </c>
      <c r="J6847" s="70">
        <v>1</v>
      </c>
    </row>
    <row r="6848" spans="9:10" x14ac:dyDescent="0.3">
      <c r="I6848" s="72">
        <v>3423</v>
      </c>
      <c r="J6848" s="70">
        <v>1</v>
      </c>
    </row>
    <row r="6849" spans="9:10" x14ac:dyDescent="0.3">
      <c r="I6849" s="72">
        <v>3423.5</v>
      </c>
      <c r="J6849" s="70">
        <v>1</v>
      </c>
    </row>
    <row r="6850" spans="9:10" x14ac:dyDescent="0.3">
      <c r="I6850" s="72">
        <v>3424</v>
      </c>
      <c r="J6850" s="70">
        <v>1</v>
      </c>
    </row>
    <row r="6851" spans="9:10" x14ac:dyDescent="0.3">
      <c r="I6851" s="72">
        <v>3424.5</v>
      </c>
      <c r="J6851" s="70">
        <v>1</v>
      </c>
    </row>
    <row r="6852" spans="9:10" x14ac:dyDescent="0.3">
      <c r="I6852" s="72">
        <v>3425</v>
      </c>
      <c r="J6852" s="70">
        <v>1</v>
      </c>
    </row>
    <row r="6853" spans="9:10" x14ac:dyDescent="0.3">
      <c r="I6853" s="72">
        <v>3425.5</v>
      </c>
      <c r="J6853" s="70">
        <v>1</v>
      </c>
    </row>
    <row r="6854" spans="9:10" x14ac:dyDescent="0.3">
      <c r="I6854" s="72">
        <v>3426</v>
      </c>
      <c r="J6854" s="70">
        <v>1</v>
      </c>
    </row>
    <row r="6855" spans="9:10" x14ac:dyDescent="0.3">
      <c r="I6855" s="72">
        <v>3426.5</v>
      </c>
      <c r="J6855" s="70">
        <v>1</v>
      </c>
    </row>
    <row r="6856" spans="9:10" x14ac:dyDescent="0.3">
      <c r="I6856" s="72">
        <v>3427</v>
      </c>
      <c r="J6856" s="70">
        <v>1</v>
      </c>
    </row>
    <row r="6857" spans="9:10" x14ac:dyDescent="0.3">
      <c r="I6857" s="72">
        <v>3427.5</v>
      </c>
      <c r="J6857" s="70">
        <v>1</v>
      </c>
    </row>
    <row r="6858" spans="9:10" x14ac:dyDescent="0.3">
      <c r="I6858" s="72">
        <v>3428</v>
      </c>
      <c r="J6858" s="70">
        <v>1</v>
      </c>
    </row>
    <row r="6859" spans="9:10" x14ac:dyDescent="0.3">
      <c r="I6859" s="72">
        <v>3428.5</v>
      </c>
      <c r="J6859" s="70">
        <v>1</v>
      </c>
    </row>
    <row r="6860" spans="9:10" x14ac:dyDescent="0.3">
      <c r="I6860" s="72">
        <v>3429</v>
      </c>
      <c r="J6860" s="70">
        <v>1</v>
      </c>
    </row>
    <row r="6861" spans="9:10" x14ac:dyDescent="0.3">
      <c r="I6861" s="72">
        <v>3429.5</v>
      </c>
      <c r="J6861" s="70">
        <v>1</v>
      </c>
    </row>
    <row r="6862" spans="9:10" x14ac:dyDescent="0.3">
      <c r="I6862" s="72">
        <v>3430</v>
      </c>
      <c r="J6862" s="70">
        <v>1</v>
      </c>
    </row>
    <row r="6863" spans="9:10" x14ac:dyDescent="0.3">
      <c r="I6863" s="72">
        <v>3430.5</v>
      </c>
      <c r="J6863" s="70">
        <v>1</v>
      </c>
    </row>
    <row r="6864" spans="9:10" x14ac:dyDescent="0.3">
      <c r="I6864" s="72">
        <v>3431</v>
      </c>
      <c r="J6864" s="70">
        <v>1</v>
      </c>
    </row>
    <row r="6865" spans="9:10" x14ac:dyDescent="0.3">
      <c r="I6865" s="72">
        <v>3431.5</v>
      </c>
      <c r="J6865" s="70">
        <v>1</v>
      </c>
    </row>
    <row r="6866" spans="9:10" x14ac:dyDescent="0.3">
      <c r="I6866" s="72">
        <v>3432</v>
      </c>
      <c r="J6866" s="70">
        <v>1</v>
      </c>
    </row>
    <row r="6867" spans="9:10" x14ac:dyDescent="0.3">
      <c r="I6867" s="72">
        <v>3432.5</v>
      </c>
      <c r="J6867" s="70">
        <v>1</v>
      </c>
    </row>
    <row r="6868" spans="9:10" x14ac:dyDescent="0.3">
      <c r="I6868" s="72">
        <v>3433</v>
      </c>
      <c r="J6868" s="70">
        <v>1</v>
      </c>
    </row>
    <row r="6869" spans="9:10" x14ac:dyDescent="0.3">
      <c r="I6869" s="72">
        <v>3433.5</v>
      </c>
      <c r="J6869" s="70">
        <v>1</v>
      </c>
    </row>
    <row r="6870" spans="9:10" x14ac:dyDescent="0.3">
      <c r="I6870" s="72">
        <v>3434</v>
      </c>
      <c r="J6870" s="70">
        <v>1</v>
      </c>
    </row>
    <row r="6871" spans="9:10" x14ac:dyDescent="0.3">
      <c r="I6871" s="72">
        <v>3434.5</v>
      </c>
      <c r="J6871" s="70">
        <v>1</v>
      </c>
    </row>
    <row r="6872" spans="9:10" x14ac:dyDescent="0.3">
      <c r="I6872" s="72">
        <v>3435</v>
      </c>
      <c r="J6872" s="70">
        <v>1</v>
      </c>
    </row>
    <row r="6873" spans="9:10" x14ac:dyDescent="0.3">
      <c r="I6873" s="72">
        <v>3435.5</v>
      </c>
      <c r="J6873" s="70">
        <v>1</v>
      </c>
    </row>
    <row r="6874" spans="9:10" x14ac:dyDescent="0.3">
      <c r="I6874" s="72">
        <v>3436</v>
      </c>
      <c r="J6874" s="70">
        <v>1</v>
      </c>
    </row>
    <row r="6875" spans="9:10" x14ac:dyDescent="0.3">
      <c r="I6875" s="72">
        <v>3436.5</v>
      </c>
      <c r="J6875" s="70">
        <v>1</v>
      </c>
    </row>
    <row r="6876" spans="9:10" x14ac:dyDescent="0.3">
      <c r="I6876" s="72">
        <v>3437</v>
      </c>
      <c r="J6876" s="70">
        <v>1</v>
      </c>
    </row>
    <row r="6877" spans="9:10" x14ac:dyDescent="0.3">
      <c r="I6877" s="72">
        <v>3437.5</v>
      </c>
      <c r="J6877" s="70">
        <v>1</v>
      </c>
    </row>
    <row r="6878" spans="9:10" x14ac:dyDescent="0.3">
      <c r="I6878" s="72">
        <v>3438</v>
      </c>
      <c r="J6878" s="70">
        <v>1</v>
      </c>
    </row>
    <row r="6879" spans="9:10" x14ac:dyDescent="0.3">
      <c r="I6879" s="72">
        <v>3438.5</v>
      </c>
      <c r="J6879" s="70">
        <v>1</v>
      </c>
    </row>
    <row r="6880" spans="9:10" x14ac:dyDescent="0.3">
      <c r="I6880" s="72">
        <v>3439</v>
      </c>
      <c r="J6880" s="70">
        <v>1</v>
      </c>
    </row>
    <row r="6881" spans="9:10" x14ac:dyDescent="0.3">
      <c r="I6881" s="72">
        <v>3439.5</v>
      </c>
      <c r="J6881" s="70">
        <v>1</v>
      </c>
    </row>
    <row r="6882" spans="9:10" x14ac:dyDescent="0.3">
      <c r="I6882" s="72">
        <v>3440</v>
      </c>
      <c r="J6882" s="70">
        <v>1</v>
      </c>
    </row>
    <row r="6883" spans="9:10" x14ac:dyDescent="0.3">
      <c r="I6883" s="72">
        <v>3440.5</v>
      </c>
      <c r="J6883" s="70">
        <v>1</v>
      </c>
    </row>
    <row r="6884" spans="9:10" x14ac:dyDescent="0.3">
      <c r="I6884" s="72">
        <v>3441</v>
      </c>
      <c r="J6884" s="70">
        <v>1</v>
      </c>
    </row>
    <row r="6885" spans="9:10" x14ac:dyDescent="0.3">
      <c r="I6885" s="72">
        <v>3441.5</v>
      </c>
      <c r="J6885" s="70">
        <v>1</v>
      </c>
    </row>
    <row r="6886" spans="9:10" x14ac:dyDescent="0.3">
      <c r="I6886" s="72">
        <v>3442</v>
      </c>
      <c r="J6886" s="70">
        <v>1</v>
      </c>
    </row>
    <row r="6887" spans="9:10" x14ac:dyDescent="0.3">
      <c r="I6887" s="72">
        <v>3442.5</v>
      </c>
      <c r="J6887" s="70">
        <v>1</v>
      </c>
    </row>
    <row r="6888" spans="9:10" x14ac:dyDescent="0.3">
      <c r="I6888" s="72">
        <v>3443</v>
      </c>
      <c r="J6888" s="70">
        <v>1</v>
      </c>
    </row>
    <row r="6889" spans="9:10" x14ac:dyDescent="0.3">
      <c r="I6889" s="72">
        <v>3443.5</v>
      </c>
      <c r="J6889" s="70">
        <v>1</v>
      </c>
    </row>
    <row r="6890" spans="9:10" x14ac:dyDescent="0.3">
      <c r="I6890" s="72">
        <v>3444</v>
      </c>
      <c r="J6890" s="70">
        <v>1</v>
      </c>
    </row>
    <row r="6891" spans="9:10" x14ac:dyDescent="0.3">
      <c r="I6891" s="72">
        <v>3444.5</v>
      </c>
      <c r="J6891" s="70">
        <v>1</v>
      </c>
    </row>
    <row r="6892" spans="9:10" x14ac:dyDescent="0.3">
      <c r="I6892" s="72">
        <v>3445</v>
      </c>
      <c r="J6892" s="70">
        <v>1</v>
      </c>
    </row>
    <row r="6893" spans="9:10" x14ac:dyDescent="0.3">
      <c r="I6893" s="72">
        <v>3445.5</v>
      </c>
      <c r="J6893" s="70">
        <v>1</v>
      </c>
    </row>
    <row r="6894" spans="9:10" x14ac:dyDescent="0.3">
      <c r="I6894" s="72">
        <v>3446</v>
      </c>
      <c r="J6894" s="70">
        <v>1</v>
      </c>
    </row>
    <row r="6895" spans="9:10" x14ac:dyDescent="0.3">
      <c r="I6895" s="72">
        <v>3446.5</v>
      </c>
      <c r="J6895" s="70">
        <v>1</v>
      </c>
    </row>
    <row r="6896" spans="9:10" x14ac:dyDescent="0.3">
      <c r="I6896" s="72">
        <v>3447</v>
      </c>
      <c r="J6896" s="70">
        <v>1</v>
      </c>
    </row>
    <row r="6897" spans="9:10" x14ac:dyDescent="0.3">
      <c r="I6897" s="72">
        <v>3447.5</v>
      </c>
      <c r="J6897" s="70">
        <v>1</v>
      </c>
    </row>
    <row r="6898" spans="9:10" x14ac:dyDescent="0.3">
      <c r="I6898" s="72">
        <v>3448</v>
      </c>
      <c r="J6898" s="70">
        <v>1</v>
      </c>
    </row>
    <row r="6899" spans="9:10" x14ac:dyDescent="0.3">
      <c r="I6899" s="72">
        <v>3448.5</v>
      </c>
      <c r="J6899" s="70">
        <v>1</v>
      </c>
    </row>
    <row r="6900" spans="9:10" x14ac:dyDescent="0.3">
      <c r="I6900" s="72">
        <v>3449</v>
      </c>
      <c r="J6900" s="70">
        <v>1</v>
      </c>
    </row>
    <row r="6901" spans="9:10" x14ac:dyDescent="0.3">
      <c r="I6901" s="72">
        <v>3449.5</v>
      </c>
      <c r="J6901" s="70">
        <v>1</v>
      </c>
    </row>
    <row r="6902" spans="9:10" x14ac:dyDescent="0.3">
      <c r="I6902" s="72">
        <v>3450</v>
      </c>
      <c r="J6902" s="70">
        <v>1</v>
      </c>
    </row>
    <row r="6903" spans="9:10" x14ac:dyDescent="0.3">
      <c r="I6903" s="72">
        <v>3450.5</v>
      </c>
      <c r="J6903" s="70">
        <v>1</v>
      </c>
    </row>
    <row r="6904" spans="9:10" x14ac:dyDescent="0.3">
      <c r="I6904" s="72">
        <v>3451</v>
      </c>
      <c r="J6904" s="70">
        <v>1</v>
      </c>
    </row>
    <row r="6905" spans="9:10" x14ac:dyDescent="0.3">
      <c r="I6905" s="72">
        <v>3451.5</v>
      </c>
      <c r="J6905" s="70">
        <v>1</v>
      </c>
    </row>
    <row r="6906" spans="9:10" x14ac:dyDescent="0.3">
      <c r="I6906" s="72">
        <v>3452</v>
      </c>
      <c r="J6906" s="70">
        <v>1</v>
      </c>
    </row>
    <row r="6907" spans="9:10" x14ac:dyDescent="0.3">
      <c r="I6907" s="72">
        <v>3452.5</v>
      </c>
      <c r="J6907" s="70">
        <v>1</v>
      </c>
    </row>
    <row r="6908" spans="9:10" x14ac:dyDescent="0.3">
      <c r="I6908" s="72">
        <v>3453</v>
      </c>
      <c r="J6908" s="70">
        <v>1</v>
      </c>
    </row>
    <row r="6909" spans="9:10" x14ac:dyDescent="0.3">
      <c r="I6909" s="72">
        <v>3453.5</v>
      </c>
      <c r="J6909" s="70">
        <v>1</v>
      </c>
    </row>
    <row r="6910" spans="9:10" x14ac:dyDescent="0.3">
      <c r="I6910" s="72">
        <v>3454</v>
      </c>
      <c r="J6910" s="70">
        <v>1</v>
      </c>
    </row>
    <row r="6911" spans="9:10" x14ac:dyDescent="0.3">
      <c r="I6911" s="72">
        <v>3454.5</v>
      </c>
      <c r="J6911" s="70">
        <v>1</v>
      </c>
    </row>
    <row r="6912" spans="9:10" x14ac:dyDescent="0.3">
      <c r="I6912" s="72">
        <v>3455</v>
      </c>
      <c r="J6912" s="70">
        <v>1</v>
      </c>
    </row>
    <row r="6913" spans="9:10" x14ac:dyDescent="0.3">
      <c r="I6913" s="72">
        <v>3455.5</v>
      </c>
      <c r="J6913" s="70">
        <v>1</v>
      </c>
    </row>
    <row r="6914" spans="9:10" x14ac:dyDescent="0.3">
      <c r="I6914" s="72">
        <v>3456</v>
      </c>
      <c r="J6914" s="70">
        <v>1</v>
      </c>
    </row>
    <row r="6915" spans="9:10" x14ac:dyDescent="0.3">
      <c r="I6915" s="72">
        <v>3456.5</v>
      </c>
      <c r="J6915" s="70">
        <v>1</v>
      </c>
    </row>
    <row r="6916" spans="9:10" x14ac:dyDescent="0.3">
      <c r="I6916" s="72">
        <v>3457</v>
      </c>
      <c r="J6916" s="70">
        <v>1</v>
      </c>
    </row>
    <row r="6917" spans="9:10" x14ac:dyDescent="0.3">
      <c r="I6917" s="72">
        <v>3457.5</v>
      </c>
      <c r="J6917" s="70">
        <v>1</v>
      </c>
    </row>
    <row r="6918" spans="9:10" x14ac:dyDescent="0.3">
      <c r="I6918" s="72">
        <v>3458</v>
      </c>
      <c r="J6918" s="70">
        <v>1</v>
      </c>
    </row>
    <row r="6919" spans="9:10" x14ac:dyDescent="0.3">
      <c r="I6919" s="72">
        <v>3458.5</v>
      </c>
      <c r="J6919" s="70">
        <v>1</v>
      </c>
    </row>
    <row r="6920" spans="9:10" x14ac:dyDescent="0.3">
      <c r="I6920" s="72">
        <v>3459</v>
      </c>
      <c r="J6920" s="70">
        <v>1</v>
      </c>
    </row>
    <row r="6921" spans="9:10" x14ac:dyDescent="0.3">
      <c r="I6921" s="72">
        <v>3459.5</v>
      </c>
      <c r="J6921" s="70">
        <v>1</v>
      </c>
    </row>
    <row r="6922" spans="9:10" x14ac:dyDescent="0.3">
      <c r="I6922" s="72">
        <v>3460</v>
      </c>
      <c r="J6922" s="70">
        <v>1</v>
      </c>
    </row>
    <row r="6923" spans="9:10" x14ac:dyDescent="0.3">
      <c r="I6923" s="72">
        <v>3460.5</v>
      </c>
      <c r="J6923" s="70">
        <v>1</v>
      </c>
    </row>
    <row r="6924" spans="9:10" x14ac:dyDescent="0.3">
      <c r="I6924" s="72">
        <v>3461</v>
      </c>
      <c r="J6924" s="70">
        <v>1</v>
      </c>
    </row>
    <row r="6925" spans="9:10" x14ac:dyDescent="0.3">
      <c r="I6925" s="72">
        <v>3461.5</v>
      </c>
      <c r="J6925" s="70">
        <v>1</v>
      </c>
    </row>
    <row r="6926" spans="9:10" x14ac:dyDescent="0.3">
      <c r="I6926" s="72">
        <v>3462</v>
      </c>
      <c r="J6926" s="70">
        <v>1</v>
      </c>
    </row>
    <row r="6927" spans="9:10" x14ac:dyDescent="0.3">
      <c r="I6927" s="72">
        <v>3462.5</v>
      </c>
      <c r="J6927" s="70">
        <v>1</v>
      </c>
    </row>
    <row r="6928" spans="9:10" x14ac:dyDescent="0.3">
      <c r="I6928" s="72">
        <v>3463</v>
      </c>
      <c r="J6928" s="70">
        <v>1</v>
      </c>
    </row>
    <row r="6929" spans="9:10" x14ac:dyDescent="0.3">
      <c r="I6929" s="72">
        <v>3463.5</v>
      </c>
      <c r="J6929" s="70">
        <v>1</v>
      </c>
    </row>
    <row r="6930" spans="9:10" x14ac:dyDescent="0.3">
      <c r="I6930" s="72">
        <v>3464</v>
      </c>
      <c r="J6930" s="70">
        <v>1</v>
      </c>
    </row>
    <row r="6931" spans="9:10" x14ac:dyDescent="0.3">
      <c r="I6931" s="72">
        <v>3464.5</v>
      </c>
      <c r="J6931" s="70">
        <v>1</v>
      </c>
    </row>
    <row r="6932" spans="9:10" x14ac:dyDescent="0.3">
      <c r="I6932" s="72">
        <v>3465</v>
      </c>
      <c r="J6932" s="70">
        <v>1</v>
      </c>
    </row>
    <row r="6933" spans="9:10" x14ac:dyDescent="0.3">
      <c r="I6933" s="72">
        <v>3465.5</v>
      </c>
      <c r="J6933" s="70">
        <v>1</v>
      </c>
    </row>
    <row r="6934" spans="9:10" x14ac:dyDescent="0.3">
      <c r="I6934" s="72">
        <v>3466</v>
      </c>
      <c r="J6934" s="70">
        <v>1</v>
      </c>
    </row>
    <row r="6935" spans="9:10" x14ac:dyDescent="0.3">
      <c r="I6935" s="72">
        <v>3466.5</v>
      </c>
      <c r="J6935" s="70">
        <v>1</v>
      </c>
    </row>
    <row r="6936" spans="9:10" x14ac:dyDescent="0.3">
      <c r="I6936" s="72">
        <v>3467</v>
      </c>
      <c r="J6936" s="70">
        <v>1</v>
      </c>
    </row>
    <row r="6937" spans="9:10" x14ac:dyDescent="0.3">
      <c r="I6937" s="72">
        <v>3467.5</v>
      </c>
      <c r="J6937" s="70">
        <v>1</v>
      </c>
    </row>
    <row r="6938" spans="9:10" x14ac:dyDescent="0.3">
      <c r="I6938" s="72">
        <v>3468</v>
      </c>
      <c r="J6938" s="70">
        <v>1</v>
      </c>
    </row>
    <row r="6939" spans="9:10" x14ac:dyDescent="0.3">
      <c r="I6939" s="72">
        <v>3468.5</v>
      </c>
      <c r="J6939" s="70">
        <v>1</v>
      </c>
    </row>
    <row r="6940" spans="9:10" x14ac:dyDescent="0.3">
      <c r="I6940" s="72">
        <v>3469</v>
      </c>
      <c r="J6940" s="70">
        <v>1</v>
      </c>
    </row>
    <row r="6941" spans="9:10" x14ac:dyDescent="0.3">
      <c r="I6941" s="72">
        <v>3469.5</v>
      </c>
      <c r="J6941" s="70">
        <v>1</v>
      </c>
    </row>
    <row r="6942" spans="9:10" x14ac:dyDescent="0.3">
      <c r="I6942" s="72">
        <v>3470</v>
      </c>
      <c r="J6942" s="70">
        <v>1</v>
      </c>
    </row>
    <row r="6943" spans="9:10" x14ac:dyDescent="0.3">
      <c r="I6943" s="72">
        <v>3470.5</v>
      </c>
      <c r="J6943" s="70">
        <v>1</v>
      </c>
    </row>
    <row r="6944" spans="9:10" x14ac:dyDescent="0.3">
      <c r="I6944" s="72">
        <v>3471</v>
      </c>
      <c r="J6944" s="70">
        <v>1</v>
      </c>
    </row>
    <row r="6945" spans="9:10" x14ac:dyDescent="0.3">
      <c r="I6945" s="72">
        <v>3471.5</v>
      </c>
      <c r="J6945" s="70">
        <v>1</v>
      </c>
    </row>
    <row r="6946" spans="9:10" x14ac:dyDescent="0.3">
      <c r="I6946" s="72">
        <v>3472</v>
      </c>
      <c r="J6946" s="70">
        <v>1</v>
      </c>
    </row>
    <row r="6947" spans="9:10" x14ac:dyDescent="0.3">
      <c r="I6947" s="72">
        <v>3472.5</v>
      </c>
      <c r="J6947" s="70">
        <v>1</v>
      </c>
    </row>
    <row r="6948" spans="9:10" x14ac:dyDescent="0.3">
      <c r="I6948" s="72">
        <v>3473</v>
      </c>
      <c r="J6948" s="70">
        <v>1</v>
      </c>
    </row>
    <row r="6949" spans="9:10" x14ac:dyDescent="0.3">
      <c r="I6949" s="72">
        <v>3473.5</v>
      </c>
      <c r="J6949" s="70">
        <v>1</v>
      </c>
    </row>
    <row r="6950" spans="9:10" x14ac:dyDescent="0.3">
      <c r="I6950" s="72">
        <v>3474</v>
      </c>
      <c r="J6950" s="70">
        <v>1</v>
      </c>
    </row>
    <row r="6951" spans="9:10" x14ac:dyDescent="0.3">
      <c r="I6951" s="72">
        <v>3474.5</v>
      </c>
      <c r="J6951" s="70">
        <v>1</v>
      </c>
    </row>
    <row r="6952" spans="9:10" x14ac:dyDescent="0.3">
      <c r="I6952" s="72">
        <v>3475</v>
      </c>
      <c r="J6952" s="70">
        <v>1</v>
      </c>
    </row>
    <row r="6953" spans="9:10" x14ac:dyDescent="0.3">
      <c r="I6953" s="72">
        <v>3475.5</v>
      </c>
      <c r="J6953" s="70">
        <v>1</v>
      </c>
    </row>
    <row r="6954" spans="9:10" x14ac:dyDescent="0.3">
      <c r="I6954" s="72">
        <v>3476</v>
      </c>
      <c r="J6954" s="70">
        <v>1</v>
      </c>
    </row>
    <row r="6955" spans="9:10" x14ac:dyDescent="0.3">
      <c r="I6955" s="72">
        <v>3476.5</v>
      </c>
      <c r="J6955" s="70">
        <v>1</v>
      </c>
    </row>
    <row r="6956" spans="9:10" x14ac:dyDescent="0.3">
      <c r="I6956" s="72">
        <v>3477</v>
      </c>
      <c r="J6956" s="70">
        <v>1</v>
      </c>
    </row>
    <row r="6957" spans="9:10" x14ac:dyDescent="0.3">
      <c r="I6957" s="72">
        <v>3477.5</v>
      </c>
      <c r="J6957" s="70">
        <v>1</v>
      </c>
    </row>
    <row r="6958" spans="9:10" x14ac:dyDescent="0.3">
      <c r="I6958" s="72">
        <v>3478</v>
      </c>
      <c r="J6958" s="70">
        <v>1</v>
      </c>
    </row>
    <row r="6959" spans="9:10" x14ac:dyDescent="0.3">
      <c r="I6959" s="72">
        <v>3478.5</v>
      </c>
      <c r="J6959" s="70">
        <v>1</v>
      </c>
    </row>
    <row r="6960" spans="9:10" x14ac:dyDescent="0.3">
      <c r="I6960" s="72">
        <v>3479</v>
      </c>
      <c r="J6960" s="70">
        <v>1</v>
      </c>
    </row>
    <row r="6961" spans="9:10" x14ac:dyDescent="0.3">
      <c r="I6961" s="72">
        <v>3479.5</v>
      </c>
      <c r="J6961" s="70">
        <v>1</v>
      </c>
    </row>
    <row r="6962" spans="9:10" x14ac:dyDescent="0.3">
      <c r="I6962" s="72">
        <v>3480</v>
      </c>
      <c r="J6962" s="70">
        <v>1</v>
      </c>
    </row>
    <row r="6963" spans="9:10" x14ac:dyDescent="0.3">
      <c r="I6963" s="72">
        <v>3480.5</v>
      </c>
      <c r="J6963" s="70">
        <v>1</v>
      </c>
    </row>
    <row r="6964" spans="9:10" x14ac:dyDescent="0.3">
      <c r="I6964" s="72">
        <v>3481</v>
      </c>
      <c r="J6964" s="70">
        <v>1</v>
      </c>
    </row>
    <row r="6965" spans="9:10" x14ac:dyDescent="0.3">
      <c r="I6965" s="72">
        <v>3481.5</v>
      </c>
      <c r="J6965" s="70">
        <v>1</v>
      </c>
    </row>
    <row r="6966" spans="9:10" x14ac:dyDescent="0.3">
      <c r="I6966" s="72">
        <v>3482</v>
      </c>
      <c r="J6966" s="70">
        <v>1</v>
      </c>
    </row>
    <row r="6967" spans="9:10" x14ac:dyDescent="0.3">
      <c r="I6967" s="72">
        <v>3482.5</v>
      </c>
      <c r="J6967" s="70">
        <v>1</v>
      </c>
    </row>
    <row r="6968" spans="9:10" x14ac:dyDescent="0.3">
      <c r="I6968" s="72">
        <v>3483</v>
      </c>
      <c r="J6968" s="70">
        <v>1</v>
      </c>
    </row>
    <row r="6969" spans="9:10" x14ac:dyDescent="0.3">
      <c r="I6969" s="72">
        <v>3483.5</v>
      </c>
      <c r="J6969" s="70">
        <v>1</v>
      </c>
    </row>
    <row r="6970" spans="9:10" x14ac:dyDescent="0.3">
      <c r="I6970" s="72">
        <v>3484</v>
      </c>
      <c r="J6970" s="70">
        <v>1</v>
      </c>
    </row>
    <row r="6971" spans="9:10" x14ac:dyDescent="0.3">
      <c r="I6971" s="72">
        <v>3484.5</v>
      </c>
      <c r="J6971" s="70">
        <v>1</v>
      </c>
    </row>
    <row r="6972" spans="9:10" x14ac:dyDescent="0.3">
      <c r="I6972" s="72">
        <v>3485</v>
      </c>
      <c r="J6972" s="70">
        <v>1</v>
      </c>
    </row>
    <row r="6973" spans="9:10" x14ac:dyDescent="0.3">
      <c r="I6973" s="72">
        <v>3485.5</v>
      </c>
      <c r="J6973" s="70">
        <v>1</v>
      </c>
    </row>
    <row r="6974" spans="9:10" x14ac:dyDescent="0.3">
      <c r="I6974" s="72">
        <v>3486</v>
      </c>
      <c r="J6974" s="70">
        <v>1</v>
      </c>
    </row>
    <row r="6975" spans="9:10" x14ac:dyDescent="0.3">
      <c r="I6975" s="72">
        <v>3486.5</v>
      </c>
      <c r="J6975" s="70">
        <v>1</v>
      </c>
    </row>
    <row r="6976" spans="9:10" x14ac:dyDescent="0.3">
      <c r="I6976" s="72">
        <v>3487</v>
      </c>
      <c r="J6976" s="70">
        <v>1</v>
      </c>
    </row>
    <row r="6977" spans="9:10" x14ac:dyDescent="0.3">
      <c r="I6977" s="72">
        <v>3487.5</v>
      </c>
      <c r="J6977" s="70">
        <v>1</v>
      </c>
    </row>
    <row r="6978" spans="9:10" x14ac:dyDescent="0.3">
      <c r="I6978" s="72">
        <v>3488</v>
      </c>
      <c r="J6978" s="70">
        <v>1</v>
      </c>
    </row>
    <row r="6979" spans="9:10" x14ac:dyDescent="0.3">
      <c r="I6979" s="72">
        <v>3488.5</v>
      </c>
      <c r="J6979" s="70">
        <v>1</v>
      </c>
    </row>
    <row r="6980" spans="9:10" x14ac:dyDescent="0.3">
      <c r="I6980" s="72">
        <v>3489</v>
      </c>
      <c r="J6980" s="70">
        <v>1</v>
      </c>
    </row>
    <row r="6981" spans="9:10" x14ac:dyDescent="0.3">
      <c r="I6981" s="72">
        <v>3489.5</v>
      </c>
      <c r="J6981" s="70">
        <v>1</v>
      </c>
    </row>
    <row r="6982" spans="9:10" x14ac:dyDescent="0.3">
      <c r="I6982" s="72">
        <v>3490</v>
      </c>
      <c r="J6982" s="70">
        <v>1</v>
      </c>
    </row>
    <row r="6983" spans="9:10" x14ac:dyDescent="0.3">
      <c r="I6983" s="72">
        <v>3490.5</v>
      </c>
      <c r="J6983" s="70">
        <v>1</v>
      </c>
    </row>
    <row r="6984" spans="9:10" x14ac:dyDescent="0.3">
      <c r="I6984" s="72">
        <v>3491</v>
      </c>
      <c r="J6984" s="70">
        <v>1</v>
      </c>
    </row>
    <row r="6985" spans="9:10" x14ac:dyDescent="0.3">
      <c r="I6985" s="72">
        <v>3491.5</v>
      </c>
      <c r="J6985" s="70">
        <v>1</v>
      </c>
    </row>
    <row r="6986" spans="9:10" x14ac:dyDescent="0.3">
      <c r="I6986" s="72">
        <v>3492</v>
      </c>
      <c r="J6986" s="70">
        <v>1</v>
      </c>
    </row>
    <row r="6987" spans="9:10" x14ac:dyDescent="0.3">
      <c r="I6987" s="72">
        <v>3492.5</v>
      </c>
      <c r="J6987" s="70">
        <v>1</v>
      </c>
    </row>
    <row r="6988" spans="9:10" x14ac:dyDescent="0.3">
      <c r="I6988" s="72">
        <v>3493</v>
      </c>
      <c r="J6988" s="70">
        <v>1</v>
      </c>
    </row>
    <row r="6989" spans="9:10" x14ac:dyDescent="0.3">
      <c r="I6989" s="72">
        <v>3493.5</v>
      </c>
      <c r="J6989" s="70">
        <v>1</v>
      </c>
    </row>
    <row r="6990" spans="9:10" x14ac:dyDescent="0.3">
      <c r="I6990" s="72">
        <v>3494</v>
      </c>
      <c r="J6990" s="70">
        <v>1</v>
      </c>
    </row>
    <row r="6991" spans="9:10" x14ac:dyDescent="0.3">
      <c r="I6991" s="72">
        <v>3494.5</v>
      </c>
      <c r="J6991" s="70">
        <v>1</v>
      </c>
    </row>
    <row r="6992" spans="9:10" x14ac:dyDescent="0.3">
      <c r="I6992" s="72">
        <v>3495</v>
      </c>
      <c r="J6992" s="70">
        <v>1</v>
      </c>
    </row>
    <row r="6993" spans="9:10" x14ac:dyDescent="0.3">
      <c r="I6993" s="72">
        <v>3495.5</v>
      </c>
      <c r="J6993" s="70">
        <v>1</v>
      </c>
    </row>
    <row r="6994" spans="9:10" x14ac:dyDescent="0.3">
      <c r="I6994" s="72">
        <v>3496</v>
      </c>
      <c r="J6994" s="70">
        <v>1</v>
      </c>
    </row>
    <row r="6995" spans="9:10" x14ac:dyDescent="0.3">
      <c r="I6995" s="72">
        <v>3496.5</v>
      </c>
      <c r="J6995" s="70">
        <v>1</v>
      </c>
    </row>
    <row r="6996" spans="9:10" x14ac:dyDescent="0.3">
      <c r="I6996" s="72">
        <v>3497</v>
      </c>
      <c r="J6996" s="70">
        <v>1</v>
      </c>
    </row>
    <row r="6997" spans="9:10" x14ac:dyDescent="0.3">
      <c r="I6997" s="72">
        <v>3497.5</v>
      </c>
      <c r="J6997" s="70">
        <v>1</v>
      </c>
    </row>
    <row r="6998" spans="9:10" x14ac:dyDescent="0.3">
      <c r="I6998" s="72">
        <v>3498</v>
      </c>
      <c r="J6998" s="70">
        <v>1</v>
      </c>
    </row>
    <row r="6999" spans="9:10" x14ac:dyDescent="0.3">
      <c r="I6999" s="72">
        <v>3498.5</v>
      </c>
      <c r="J6999" s="70">
        <v>1</v>
      </c>
    </row>
    <row r="7000" spans="9:10" x14ac:dyDescent="0.3">
      <c r="I7000" s="72">
        <v>3499</v>
      </c>
      <c r="J7000" s="70">
        <v>1</v>
      </c>
    </row>
    <row r="7001" spans="9:10" x14ac:dyDescent="0.3">
      <c r="I7001" s="72">
        <v>3499.5</v>
      </c>
      <c r="J7001" s="70">
        <v>1</v>
      </c>
    </row>
    <row r="7002" spans="9:10" x14ac:dyDescent="0.3">
      <c r="I7002" s="72">
        <v>3500</v>
      </c>
      <c r="J7002" s="70">
        <v>1</v>
      </c>
    </row>
    <row r="7003" spans="9:10" x14ac:dyDescent="0.3">
      <c r="I7003" s="72">
        <v>3500.5</v>
      </c>
      <c r="J7003" s="70">
        <v>1</v>
      </c>
    </row>
    <row r="7004" spans="9:10" x14ac:dyDescent="0.3">
      <c r="I7004" s="72">
        <v>3501</v>
      </c>
      <c r="J7004" s="70">
        <v>1</v>
      </c>
    </row>
    <row r="7005" spans="9:10" x14ac:dyDescent="0.3">
      <c r="I7005" s="72">
        <v>3501.5</v>
      </c>
      <c r="J7005" s="70">
        <v>1</v>
      </c>
    </row>
    <row r="7006" spans="9:10" x14ac:dyDescent="0.3">
      <c r="I7006" s="72">
        <v>3502</v>
      </c>
      <c r="J7006" s="70">
        <v>1</v>
      </c>
    </row>
    <row r="7007" spans="9:10" x14ac:dyDescent="0.3">
      <c r="I7007" s="72">
        <v>3502.5</v>
      </c>
      <c r="J7007" s="70">
        <v>1</v>
      </c>
    </row>
    <row r="7008" spans="9:10" x14ac:dyDescent="0.3">
      <c r="I7008" s="72">
        <v>3503</v>
      </c>
      <c r="J7008" s="70">
        <v>1</v>
      </c>
    </row>
    <row r="7009" spans="9:10" x14ac:dyDescent="0.3">
      <c r="I7009" s="72">
        <v>3503.5</v>
      </c>
      <c r="J7009" s="70">
        <v>1</v>
      </c>
    </row>
    <row r="7010" spans="9:10" x14ac:dyDescent="0.3">
      <c r="I7010" s="72">
        <v>3504</v>
      </c>
      <c r="J7010" s="70">
        <v>1</v>
      </c>
    </row>
    <row r="7011" spans="9:10" x14ac:dyDescent="0.3">
      <c r="I7011" s="72">
        <v>3504.5</v>
      </c>
      <c r="J7011" s="70">
        <v>1</v>
      </c>
    </row>
    <row r="7012" spans="9:10" x14ac:dyDescent="0.3">
      <c r="I7012" s="72">
        <v>3505</v>
      </c>
      <c r="J7012" s="70">
        <v>1</v>
      </c>
    </row>
    <row r="7013" spans="9:10" x14ac:dyDescent="0.3">
      <c r="I7013" s="72">
        <v>3505.5</v>
      </c>
      <c r="J7013" s="70">
        <v>1</v>
      </c>
    </row>
    <row r="7014" spans="9:10" x14ac:dyDescent="0.3">
      <c r="I7014" s="72">
        <v>3506</v>
      </c>
      <c r="J7014" s="70">
        <v>1</v>
      </c>
    </row>
    <row r="7015" spans="9:10" x14ac:dyDescent="0.3">
      <c r="I7015" s="72">
        <v>3506.5</v>
      </c>
      <c r="J7015" s="70">
        <v>1</v>
      </c>
    </row>
    <row r="7016" spans="9:10" x14ac:dyDescent="0.3">
      <c r="I7016" s="72">
        <v>3507</v>
      </c>
      <c r="J7016" s="70">
        <v>1</v>
      </c>
    </row>
    <row r="7017" spans="9:10" x14ac:dyDescent="0.3">
      <c r="I7017" s="72">
        <v>3507.5</v>
      </c>
      <c r="J7017" s="70">
        <v>1</v>
      </c>
    </row>
    <row r="7018" spans="9:10" x14ac:dyDescent="0.3">
      <c r="I7018" s="72">
        <v>3508</v>
      </c>
      <c r="J7018" s="70">
        <v>1</v>
      </c>
    </row>
    <row r="7019" spans="9:10" x14ac:dyDescent="0.3">
      <c r="I7019" s="72">
        <v>3508.5</v>
      </c>
      <c r="J7019" s="70">
        <v>1</v>
      </c>
    </row>
    <row r="7020" spans="9:10" x14ac:dyDescent="0.3">
      <c r="I7020" s="72">
        <v>3509</v>
      </c>
      <c r="J7020" s="70">
        <v>1</v>
      </c>
    </row>
    <row r="7021" spans="9:10" x14ac:dyDescent="0.3">
      <c r="I7021" s="72">
        <v>3509.5</v>
      </c>
      <c r="J7021" s="70">
        <v>1</v>
      </c>
    </row>
    <row r="7022" spans="9:10" x14ac:dyDescent="0.3">
      <c r="I7022" s="72">
        <v>3510</v>
      </c>
      <c r="J7022" s="70">
        <v>1</v>
      </c>
    </row>
    <row r="7023" spans="9:10" x14ac:dyDescent="0.3">
      <c r="I7023" s="72">
        <v>3510.5</v>
      </c>
      <c r="J7023" s="70">
        <v>1</v>
      </c>
    </row>
    <row r="7024" spans="9:10" x14ac:dyDescent="0.3">
      <c r="I7024" s="72">
        <v>3511</v>
      </c>
      <c r="J7024" s="70">
        <v>1</v>
      </c>
    </row>
    <row r="7025" spans="9:10" x14ac:dyDescent="0.3">
      <c r="I7025" s="72">
        <v>3511.5</v>
      </c>
      <c r="J7025" s="70">
        <v>1</v>
      </c>
    </row>
    <row r="7026" spans="9:10" x14ac:dyDescent="0.3">
      <c r="I7026" s="72">
        <v>3512</v>
      </c>
      <c r="J7026" s="70">
        <v>1</v>
      </c>
    </row>
    <row r="7027" spans="9:10" x14ac:dyDescent="0.3">
      <c r="I7027" s="72">
        <v>3512.5</v>
      </c>
      <c r="J7027" s="70">
        <v>1</v>
      </c>
    </row>
    <row r="7028" spans="9:10" x14ac:dyDescent="0.3">
      <c r="I7028" s="72">
        <v>3513</v>
      </c>
      <c r="J7028" s="70">
        <v>1</v>
      </c>
    </row>
    <row r="7029" spans="9:10" x14ac:dyDescent="0.3">
      <c r="I7029" s="72">
        <v>3513.5</v>
      </c>
      <c r="J7029" s="70">
        <v>1</v>
      </c>
    </row>
    <row r="7030" spans="9:10" x14ac:dyDescent="0.3">
      <c r="I7030" s="72">
        <v>3514</v>
      </c>
      <c r="J7030" s="70">
        <v>1</v>
      </c>
    </row>
    <row r="7031" spans="9:10" x14ac:dyDescent="0.3">
      <c r="I7031" s="72">
        <v>3514.5</v>
      </c>
      <c r="J7031" s="70">
        <v>1</v>
      </c>
    </row>
    <row r="7032" spans="9:10" x14ac:dyDescent="0.3">
      <c r="I7032" s="72">
        <v>3515</v>
      </c>
      <c r="J7032" s="70">
        <v>1</v>
      </c>
    </row>
    <row r="7033" spans="9:10" x14ac:dyDescent="0.3">
      <c r="I7033" s="72">
        <v>3515.5</v>
      </c>
      <c r="J7033" s="70">
        <v>1</v>
      </c>
    </row>
    <row r="7034" spans="9:10" x14ac:dyDescent="0.3">
      <c r="I7034" s="72">
        <v>3516</v>
      </c>
      <c r="J7034" s="70">
        <v>1</v>
      </c>
    </row>
    <row r="7035" spans="9:10" x14ac:dyDescent="0.3">
      <c r="I7035" s="72">
        <v>3516.5</v>
      </c>
      <c r="J7035" s="70">
        <v>1</v>
      </c>
    </row>
    <row r="7036" spans="9:10" x14ac:dyDescent="0.3">
      <c r="I7036" s="72">
        <v>3517</v>
      </c>
      <c r="J7036" s="70">
        <v>1</v>
      </c>
    </row>
    <row r="7037" spans="9:10" x14ac:dyDescent="0.3">
      <c r="I7037" s="72">
        <v>3517.5</v>
      </c>
      <c r="J7037" s="70">
        <v>1</v>
      </c>
    </row>
    <row r="7038" spans="9:10" x14ac:dyDescent="0.3">
      <c r="I7038" s="72">
        <v>3518</v>
      </c>
      <c r="J7038" s="70">
        <v>1</v>
      </c>
    </row>
    <row r="7039" spans="9:10" x14ac:dyDescent="0.3">
      <c r="I7039" s="72">
        <v>3518.5</v>
      </c>
      <c r="J7039" s="70">
        <v>1</v>
      </c>
    </row>
    <row r="7040" spans="9:10" x14ac:dyDescent="0.3">
      <c r="I7040" s="72">
        <v>3519</v>
      </c>
      <c r="J7040" s="70">
        <v>1</v>
      </c>
    </row>
    <row r="7041" spans="9:10" x14ac:dyDescent="0.3">
      <c r="I7041" s="72">
        <v>3519.5</v>
      </c>
      <c r="J7041" s="70">
        <v>1</v>
      </c>
    </row>
    <row r="7042" spans="9:10" x14ac:dyDescent="0.3">
      <c r="I7042" s="72">
        <v>3520</v>
      </c>
      <c r="J7042" s="70">
        <v>1</v>
      </c>
    </row>
    <row r="7043" spans="9:10" x14ac:dyDescent="0.3">
      <c r="I7043" s="72">
        <v>3520.5</v>
      </c>
      <c r="J7043" s="70">
        <v>1</v>
      </c>
    </row>
    <row r="7044" spans="9:10" x14ac:dyDescent="0.3">
      <c r="I7044" s="72">
        <v>3521</v>
      </c>
      <c r="J7044" s="70">
        <v>1</v>
      </c>
    </row>
    <row r="7045" spans="9:10" x14ac:dyDescent="0.3">
      <c r="I7045" s="72">
        <v>3521.5</v>
      </c>
      <c r="J7045" s="70">
        <v>1</v>
      </c>
    </row>
    <row r="7046" spans="9:10" x14ac:dyDescent="0.3">
      <c r="I7046" s="72">
        <v>3522</v>
      </c>
      <c r="J7046" s="70">
        <v>1</v>
      </c>
    </row>
    <row r="7047" spans="9:10" x14ac:dyDescent="0.3">
      <c r="I7047" s="72">
        <v>3522.5</v>
      </c>
      <c r="J7047" s="70">
        <v>1</v>
      </c>
    </row>
    <row r="7048" spans="9:10" x14ac:dyDescent="0.3">
      <c r="I7048" s="72">
        <v>3523</v>
      </c>
      <c r="J7048" s="70">
        <v>1</v>
      </c>
    </row>
    <row r="7049" spans="9:10" x14ac:dyDescent="0.3">
      <c r="I7049" s="72">
        <v>3523.5</v>
      </c>
      <c r="J7049" s="70">
        <v>1</v>
      </c>
    </row>
    <row r="7050" spans="9:10" x14ac:dyDescent="0.3">
      <c r="I7050" s="72">
        <v>3524</v>
      </c>
      <c r="J7050" s="70">
        <v>1</v>
      </c>
    </row>
    <row r="7051" spans="9:10" x14ac:dyDescent="0.3">
      <c r="I7051" s="72">
        <v>3524.5</v>
      </c>
      <c r="J7051" s="70">
        <v>1</v>
      </c>
    </row>
    <row r="7052" spans="9:10" x14ac:dyDescent="0.3">
      <c r="I7052" s="72">
        <v>3525</v>
      </c>
      <c r="J7052" s="70">
        <v>1</v>
      </c>
    </row>
    <row r="7053" spans="9:10" x14ac:dyDescent="0.3">
      <c r="I7053" s="72">
        <v>3525.5</v>
      </c>
      <c r="J7053" s="70">
        <v>1</v>
      </c>
    </row>
    <row r="7054" spans="9:10" x14ac:dyDescent="0.3">
      <c r="I7054" s="72">
        <v>3526</v>
      </c>
      <c r="J7054" s="70">
        <v>1</v>
      </c>
    </row>
    <row r="7055" spans="9:10" x14ac:dyDescent="0.3">
      <c r="I7055" s="72">
        <v>3526.5</v>
      </c>
      <c r="J7055" s="70">
        <v>1</v>
      </c>
    </row>
    <row r="7056" spans="9:10" x14ac:dyDescent="0.3">
      <c r="I7056" s="72">
        <v>3527</v>
      </c>
      <c r="J7056" s="70">
        <v>1</v>
      </c>
    </row>
    <row r="7057" spans="9:10" x14ac:dyDescent="0.3">
      <c r="I7057" s="72">
        <v>3527.5</v>
      </c>
      <c r="J7057" s="70">
        <v>1</v>
      </c>
    </row>
    <row r="7058" spans="9:10" x14ac:dyDescent="0.3">
      <c r="I7058" s="72">
        <v>3528</v>
      </c>
      <c r="J7058" s="70">
        <v>1</v>
      </c>
    </row>
    <row r="7059" spans="9:10" x14ac:dyDescent="0.3">
      <c r="I7059" s="72">
        <v>3528.5</v>
      </c>
      <c r="J7059" s="70">
        <v>1</v>
      </c>
    </row>
    <row r="7060" spans="9:10" x14ac:dyDescent="0.3">
      <c r="I7060" s="72">
        <v>3529</v>
      </c>
      <c r="J7060" s="70">
        <v>1</v>
      </c>
    </row>
    <row r="7061" spans="9:10" x14ac:dyDescent="0.3">
      <c r="I7061" s="72">
        <v>3529.5</v>
      </c>
      <c r="J7061" s="70">
        <v>1</v>
      </c>
    </row>
    <row r="7062" spans="9:10" x14ac:dyDescent="0.3">
      <c r="I7062" s="72">
        <v>3530</v>
      </c>
      <c r="J7062" s="70">
        <v>1</v>
      </c>
    </row>
    <row r="7063" spans="9:10" x14ac:dyDescent="0.3">
      <c r="I7063" s="72">
        <v>3530.5</v>
      </c>
      <c r="J7063" s="70">
        <v>1</v>
      </c>
    </row>
    <row r="7064" spans="9:10" x14ac:dyDescent="0.3">
      <c r="I7064" s="72">
        <v>3531</v>
      </c>
      <c r="J7064" s="70">
        <v>1</v>
      </c>
    </row>
    <row r="7065" spans="9:10" x14ac:dyDescent="0.3">
      <c r="I7065" s="72">
        <v>3531.5</v>
      </c>
      <c r="J7065" s="70">
        <v>1</v>
      </c>
    </row>
    <row r="7066" spans="9:10" x14ac:dyDescent="0.3">
      <c r="I7066" s="72">
        <v>3532</v>
      </c>
      <c r="J7066" s="70">
        <v>1</v>
      </c>
    </row>
    <row r="7067" spans="9:10" x14ac:dyDescent="0.3">
      <c r="I7067" s="72">
        <v>3532.5</v>
      </c>
      <c r="J7067" s="70">
        <v>1</v>
      </c>
    </row>
    <row r="7068" spans="9:10" x14ac:dyDescent="0.3">
      <c r="I7068" s="72">
        <v>3533</v>
      </c>
      <c r="J7068" s="70">
        <v>1</v>
      </c>
    </row>
    <row r="7069" spans="9:10" x14ac:dyDescent="0.3">
      <c r="I7069" s="72">
        <v>3533.5</v>
      </c>
      <c r="J7069" s="70">
        <v>1</v>
      </c>
    </row>
    <row r="7070" spans="9:10" x14ac:dyDescent="0.3">
      <c r="I7070" s="72">
        <v>3534</v>
      </c>
      <c r="J7070" s="70">
        <v>1</v>
      </c>
    </row>
    <row r="7071" spans="9:10" x14ac:dyDescent="0.3">
      <c r="I7071" s="72">
        <v>3534.5</v>
      </c>
      <c r="J7071" s="70">
        <v>1</v>
      </c>
    </row>
    <row r="7072" spans="9:10" x14ac:dyDescent="0.3">
      <c r="I7072" s="72">
        <v>3535</v>
      </c>
      <c r="J7072" s="70">
        <v>1</v>
      </c>
    </row>
    <row r="7073" spans="9:10" x14ac:dyDescent="0.3">
      <c r="I7073" s="72">
        <v>3535.5</v>
      </c>
      <c r="J7073" s="70">
        <v>1</v>
      </c>
    </row>
    <row r="7074" spans="9:10" x14ac:dyDescent="0.3">
      <c r="I7074" s="72">
        <v>3536</v>
      </c>
      <c r="J7074" s="70">
        <v>1</v>
      </c>
    </row>
    <row r="7075" spans="9:10" x14ac:dyDescent="0.3">
      <c r="I7075" s="72">
        <v>3536.5</v>
      </c>
      <c r="J7075" s="70">
        <v>1</v>
      </c>
    </row>
    <row r="7076" spans="9:10" x14ac:dyDescent="0.3">
      <c r="I7076" s="72">
        <v>3537</v>
      </c>
      <c r="J7076" s="70">
        <v>1</v>
      </c>
    </row>
    <row r="7077" spans="9:10" x14ac:dyDescent="0.3">
      <c r="I7077" s="72">
        <v>3537.5</v>
      </c>
      <c r="J7077" s="70">
        <v>1</v>
      </c>
    </row>
    <row r="7078" spans="9:10" x14ac:dyDescent="0.3">
      <c r="I7078" s="72">
        <v>3538</v>
      </c>
      <c r="J7078" s="70">
        <v>1</v>
      </c>
    </row>
    <row r="7079" spans="9:10" x14ac:dyDescent="0.3">
      <c r="I7079" s="72">
        <v>3538.5</v>
      </c>
      <c r="J7079" s="70">
        <v>1</v>
      </c>
    </row>
    <row r="7080" spans="9:10" x14ac:dyDescent="0.3">
      <c r="I7080" s="72">
        <v>3539</v>
      </c>
      <c r="J7080" s="70">
        <v>1</v>
      </c>
    </row>
    <row r="7081" spans="9:10" x14ac:dyDescent="0.3">
      <c r="I7081" s="72">
        <v>3539.5</v>
      </c>
      <c r="J7081" s="70">
        <v>1</v>
      </c>
    </row>
    <row r="7082" spans="9:10" x14ac:dyDescent="0.3">
      <c r="I7082" s="72">
        <v>3540</v>
      </c>
      <c r="J7082" s="70">
        <v>1</v>
      </c>
    </row>
    <row r="7083" spans="9:10" x14ac:dyDescent="0.3">
      <c r="I7083" s="72">
        <v>3540.5</v>
      </c>
      <c r="J7083" s="70">
        <v>1</v>
      </c>
    </row>
    <row r="7084" spans="9:10" x14ac:dyDescent="0.3">
      <c r="I7084" s="72">
        <v>3541</v>
      </c>
      <c r="J7084" s="70">
        <v>1</v>
      </c>
    </row>
    <row r="7085" spans="9:10" x14ac:dyDescent="0.3">
      <c r="I7085" s="72">
        <v>3541.5</v>
      </c>
      <c r="J7085" s="70">
        <v>1</v>
      </c>
    </row>
    <row r="7086" spans="9:10" x14ac:dyDescent="0.3">
      <c r="I7086" s="72">
        <v>3542</v>
      </c>
      <c r="J7086" s="70">
        <v>1</v>
      </c>
    </row>
    <row r="7087" spans="9:10" x14ac:dyDescent="0.3">
      <c r="I7087" s="72">
        <v>3542.5</v>
      </c>
      <c r="J7087" s="70">
        <v>1</v>
      </c>
    </row>
    <row r="7088" spans="9:10" x14ac:dyDescent="0.3">
      <c r="I7088" s="72">
        <v>3543</v>
      </c>
      <c r="J7088" s="70">
        <v>1</v>
      </c>
    </row>
    <row r="7089" spans="9:10" x14ac:dyDescent="0.3">
      <c r="I7089" s="72">
        <v>3543.5</v>
      </c>
      <c r="J7089" s="70">
        <v>1</v>
      </c>
    </row>
    <row r="7090" spans="9:10" x14ac:dyDescent="0.3">
      <c r="I7090" s="72">
        <v>3544</v>
      </c>
      <c r="J7090" s="70">
        <v>1</v>
      </c>
    </row>
    <row r="7091" spans="9:10" x14ac:dyDescent="0.3">
      <c r="I7091" s="72">
        <v>3544.5</v>
      </c>
      <c r="J7091" s="70">
        <v>1</v>
      </c>
    </row>
    <row r="7092" spans="9:10" x14ac:dyDescent="0.3">
      <c r="I7092" s="72">
        <v>3545</v>
      </c>
      <c r="J7092" s="70">
        <v>1</v>
      </c>
    </row>
    <row r="7093" spans="9:10" x14ac:dyDescent="0.3">
      <c r="I7093" s="72">
        <v>3545.5</v>
      </c>
      <c r="J7093" s="70">
        <v>1</v>
      </c>
    </row>
    <row r="7094" spans="9:10" x14ac:dyDescent="0.3">
      <c r="I7094" s="72">
        <v>3546</v>
      </c>
      <c r="J7094" s="70">
        <v>1</v>
      </c>
    </row>
    <row r="7095" spans="9:10" x14ac:dyDescent="0.3">
      <c r="I7095" s="72">
        <v>3546.5</v>
      </c>
      <c r="J7095" s="70">
        <v>1</v>
      </c>
    </row>
    <row r="7096" spans="9:10" x14ac:dyDescent="0.3">
      <c r="I7096" s="72">
        <v>3547</v>
      </c>
      <c r="J7096" s="70">
        <v>1</v>
      </c>
    </row>
    <row r="7097" spans="9:10" x14ac:dyDescent="0.3">
      <c r="I7097" s="72">
        <v>3547.5</v>
      </c>
      <c r="J7097" s="70">
        <v>1</v>
      </c>
    </row>
    <row r="7098" spans="9:10" x14ac:dyDescent="0.3">
      <c r="I7098" s="72">
        <v>3548</v>
      </c>
      <c r="J7098" s="70">
        <v>1</v>
      </c>
    </row>
    <row r="7099" spans="9:10" x14ac:dyDescent="0.3">
      <c r="I7099" s="72">
        <v>3548.5</v>
      </c>
      <c r="J7099" s="70">
        <v>1</v>
      </c>
    </row>
    <row r="7100" spans="9:10" x14ac:dyDescent="0.3">
      <c r="I7100" s="72">
        <v>3549</v>
      </c>
      <c r="J7100" s="70">
        <v>1</v>
      </c>
    </row>
    <row r="7101" spans="9:10" x14ac:dyDescent="0.3">
      <c r="I7101" s="72">
        <v>3549.5</v>
      </c>
      <c r="J7101" s="70">
        <v>1</v>
      </c>
    </row>
    <row r="7102" spans="9:10" x14ac:dyDescent="0.3">
      <c r="I7102" s="72">
        <v>3550</v>
      </c>
      <c r="J7102" s="70">
        <v>1</v>
      </c>
    </row>
    <row r="7103" spans="9:10" x14ac:dyDescent="0.3">
      <c r="I7103" s="72">
        <v>3550.5</v>
      </c>
      <c r="J7103" s="70">
        <v>1</v>
      </c>
    </row>
    <row r="7104" spans="9:10" x14ac:dyDescent="0.3">
      <c r="I7104" s="72">
        <v>3551</v>
      </c>
      <c r="J7104" s="70">
        <v>1</v>
      </c>
    </row>
    <row r="7105" spans="9:10" x14ac:dyDescent="0.3">
      <c r="I7105" s="72">
        <v>3551.5</v>
      </c>
      <c r="J7105" s="70">
        <v>1</v>
      </c>
    </row>
    <row r="7106" spans="9:10" x14ac:dyDescent="0.3">
      <c r="I7106" s="72">
        <v>3552</v>
      </c>
      <c r="J7106" s="70">
        <v>1</v>
      </c>
    </row>
    <row r="7107" spans="9:10" x14ac:dyDescent="0.3">
      <c r="I7107" s="72">
        <v>3552.5</v>
      </c>
      <c r="J7107" s="70">
        <v>1</v>
      </c>
    </row>
    <row r="7108" spans="9:10" x14ac:dyDescent="0.3">
      <c r="I7108" s="72">
        <v>3553</v>
      </c>
      <c r="J7108" s="70">
        <v>1</v>
      </c>
    </row>
    <row r="7109" spans="9:10" x14ac:dyDescent="0.3">
      <c r="I7109" s="72">
        <v>3553.5</v>
      </c>
      <c r="J7109" s="70">
        <v>1</v>
      </c>
    </row>
    <row r="7110" spans="9:10" x14ac:dyDescent="0.3">
      <c r="I7110" s="72">
        <v>3554</v>
      </c>
      <c r="J7110" s="70">
        <v>1</v>
      </c>
    </row>
    <row r="7111" spans="9:10" x14ac:dyDescent="0.3">
      <c r="I7111" s="72">
        <v>3554.5</v>
      </c>
      <c r="J7111" s="70">
        <v>1</v>
      </c>
    </row>
    <row r="7112" spans="9:10" x14ac:dyDescent="0.3">
      <c r="I7112" s="72">
        <v>3555</v>
      </c>
      <c r="J7112" s="70">
        <v>1</v>
      </c>
    </row>
    <row r="7113" spans="9:10" x14ac:dyDescent="0.3">
      <c r="I7113" s="72">
        <v>3555.5</v>
      </c>
      <c r="J7113" s="70">
        <v>1</v>
      </c>
    </row>
    <row r="7114" spans="9:10" x14ac:dyDescent="0.3">
      <c r="I7114" s="72">
        <v>3556</v>
      </c>
      <c r="J7114" s="70">
        <v>1</v>
      </c>
    </row>
    <row r="7115" spans="9:10" x14ac:dyDescent="0.3">
      <c r="I7115" s="72">
        <v>3556.5</v>
      </c>
      <c r="J7115" s="70">
        <v>1</v>
      </c>
    </row>
    <row r="7116" spans="9:10" x14ac:dyDescent="0.3">
      <c r="I7116" s="72">
        <v>3557</v>
      </c>
      <c r="J7116" s="70">
        <v>1</v>
      </c>
    </row>
    <row r="7117" spans="9:10" x14ac:dyDescent="0.3">
      <c r="I7117" s="72">
        <v>3557.5</v>
      </c>
      <c r="J7117" s="70">
        <v>1</v>
      </c>
    </row>
    <row r="7118" spans="9:10" x14ac:dyDescent="0.3">
      <c r="I7118" s="72">
        <v>3558</v>
      </c>
      <c r="J7118" s="70">
        <v>1</v>
      </c>
    </row>
    <row r="7119" spans="9:10" x14ac:dyDescent="0.3">
      <c r="I7119" s="72">
        <v>3558.5</v>
      </c>
      <c r="J7119" s="70">
        <v>1</v>
      </c>
    </row>
    <row r="7120" spans="9:10" x14ac:dyDescent="0.3">
      <c r="I7120" s="72">
        <v>3559</v>
      </c>
      <c r="J7120" s="70">
        <v>1</v>
      </c>
    </row>
    <row r="7121" spans="9:10" x14ac:dyDescent="0.3">
      <c r="I7121" s="72">
        <v>3559.5</v>
      </c>
      <c r="J7121" s="70">
        <v>1</v>
      </c>
    </row>
    <row r="7122" spans="9:10" x14ac:dyDescent="0.3">
      <c r="I7122" s="72">
        <v>3560</v>
      </c>
      <c r="J7122" s="70">
        <v>1</v>
      </c>
    </row>
    <row r="7123" spans="9:10" x14ac:dyDescent="0.3">
      <c r="I7123" s="72">
        <v>3560.5</v>
      </c>
      <c r="J7123" s="70">
        <v>1</v>
      </c>
    </row>
    <row r="7124" spans="9:10" x14ac:dyDescent="0.3">
      <c r="I7124" s="72">
        <v>3561</v>
      </c>
      <c r="J7124" s="70">
        <v>1</v>
      </c>
    </row>
    <row r="7125" spans="9:10" x14ac:dyDescent="0.3">
      <c r="I7125" s="72">
        <v>3561.5</v>
      </c>
      <c r="J7125" s="70">
        <v>1</v>
      </c>
    </row>
    <row r="7126" spans="9:10" x14ac:dyDescent="0.3">
      <c r="I7126" s="72">
        <v>3562</v>
      </c>
      <c r="J7126" s="70">
        <v>1</v>
      </c>
    </row>
    <row r="7127" spans="9:10" x14ac:dyDescent="0.3">
      <c r="I7127" s="72">
        <v>3562.5</v>
      </c>
      <c r="J7127" s="70">
        <v>1</v>
      </c>
    </row>
    <row r="7128" spans="9:10" x14ac:dyDescent="0.3">
      <c r="I7128" s="72">
        <v>3563</v>
      </c>
      <c r="J7128" s="70">
        <v>1</v>
      </c>
    </row>
    <row r="7129" spans="9:10" x14ac:dyDescent="0.3">
      <c r="I7129" s="72">
        <v>3563.5</v>
      </c>
      <c r="J7129" s="70">
        <v>1</v>
      </c>
    </row>
    <row r="7130" spans="9:10" x14ac:dyDescent="0.3">
      <c r="I7130" s="72">
        <v>3564</v>
      </c>
      <c r="J7130" s="70">
        <v>1</v>
      </c>
    </row>
    <row r="7131" spans="9:10" x14ac:dyDescent="0.3">
      <c r="I7131" s="72">
        <v>3564.5</v>
      </c>
      <c r="J7131" s="70">
        <v>1</v>
      </c>
    </row>
    <row r="7132" spans="9:10" x14ac:dyDescent="0.3">
      <c r="I7132" s="72">
        <v>3565</v>
      </c>
      <c r="J7132" s="70">
        <v>1</v>
      </c>
    </row>
    <row r="7133" spans="9:10" x14ac:dyDescent="0.3">
      <c r="I7133" s="72">
        <v>3565.5</v>
      </c>
      <c r="J7133" s="70">
        <v>1</v>
      </c>
    </row>
    <row r="7134" spans="9:10" x14ac:dyDescent="0.3">
      <c r="I7134" s="72">
        <v>3566</v>
      </c>
      <c r="J7134" s="70">
        <v>1</v>
      </c>
    </row>
    <row r="7135" spans="9:10" x14ac:dyDescent="0.3">
      <c r="I7135" s="72">
        <v>3566.5</v>
      </c>
      <c r="J7135" s="70">
        <v>1</v>
      </c>
    </row>
    <row r="7136" spans="9:10" x14ac:dyDescent="0.3">
      <c r="I7136" s="72">
        <v>3567</v>
      </c>
      <c r="J7136" s="70">
        <v>1</v>
      </c>
    </row>
    <row r="7137" spans="9:10" x14ac:dyDescent="0.3">
      <c r="I7137" s="72">
        <v>3567.5</v>
      </c>
      <c r="J7137" s="70">
        <v>1</v>
      </c>
    </row>
    <row r="7138" spans="9:10" x14ac:dyDescent="0.3">
      <c r="I7138" s="72">
        <v>3568</v>
      </c>
      <c r="J7138" s="70">
        <v>1</v>
      </c>
    </row>
    <row r="7139" spans="9:10" x14ac:dyDescent="0.3">
      <c r="I7139" s="72">
        <v>3568.5</v>
      </c>
      <c r="J7139" s="70">
        <v>1</v>
      </c>
    </row>
    <row r="7140" spans="9:10" x14ac:dyDescent="0.3">
      <c r="I7140" s="72">
        <v>3569</v>
      </c>
      <c r="J7140" s="70">
        <v>1</v>
      </c>
    </row>
    <row r="7141" spans="9:10" x14ac:dyDescent="0.3">
      <c r="I7141" s="72">
        <v>3569.5</v>
      </c>
      <c r="J7141" s="70">
        <v>1</v>
      </c>
    </row>
    <row r="7142" spans="9:10" x14ac:dyDescent="0.3">
      <c r="I7142" s="72">
        <v>3570</v>
      </c>
      <c r="J7142" s="70">
        <v>1</v>
      </c>
    </row>
    <row r="7143" spans="9:10" x14ac:dyDescent="0.3">
      <c r="I7143" s="72">
        <v>3570.5</v>
      </c>
      <c r="J7143" s="70">
        <v>1</v>
      </c>
    </row>
    <row r="7144" spans="9:10" x14ac:dyDescent="0.3">
      <c r="I7144" s="72">
        <v>3571</v>
      </c>
      <c r="J7144" s="70">
        <v>1</v>
      </c>
    </row>
    <row r="7145" spans="9:10" x14ac:dyDescent="0.3">
      <c r="I7145" s="72">
        <v>3571.5</v>
      </c>
      <c r="J7145" s="70">
        <v>1</v>
      </c>
    </row>
    <row r="7146" spans="9:10" x14ac:dyDescent="0.3">
      <c r="I7146" s="72">
        <v>3572</v>
      </c>
      <c r="J7146" s="70">
        <v>1</v>
      </c>
    </row>
    <row r="7147" spans="9:10" x14ac:dyDescent="0.3">
      <c r="I7147" s="72">
        <v>3572.5</v>
      </c>
      <c r="J7147" s="70">
        <v>1</v>
      </c>
    </row>
    <row r="7148" spans="9:10" x14ac:dyDescent="0.3">
      <c r="I7148" s="72">
        <v>3573</v>
      </c>
      <c r="J7148" s="70">
        <v>1</v>
      </c>
    </row>
    <row r="7149" spans="9:10" x14ac:dyDescent="0.3">
      <c r="I7149" s="72">
        <v>3573.5</v>
      </c>
      <c r="J7149" s="70">
        <v>1</v>
      </c>
    </row>
    <row r="7150" spans="9:10" x14ac:dyDescent="0.3">
      <c r="I7150" s="72">
        <v>3574</v>
      </c>
      <c r="J7150" s="70">
        <v>1</v>
      </c>
    </row>
    <row r="7151" spans="9:10" x14ac:dyDescent="0.3">
      <c r="I7151" s="72">
        <v>3574.5</v>
      </c>
      <c r="J7151" s="70">
        <v>1</v>
      </c>
    </row>
    <row r="7152" spans="9:10" x14ac:dyDescent="0.3">
      <c r="I7152" s="72">
        <v>3575</v>
      </c>
      <c r="J7152" s="70">
        <v>1</v>
      </c>
    </row>
    <row r="7153" spans="9:10" x14ac:dyDescent="0.3">
      <c r="I7153" s="72">
        <v>3575.5</v>
      </c>
      <c r="J7153" s="70">
        <v>1</v>
      </c>
    </row>
    <row r="7154" spans="9:10" x14ac:dyDescent="0.3">
      <c r="I7154" s="72">
        <v>3576</v>
      </c>
      <c r="J7154" s="70">
        <v>1</v>
      </c>
    </row>
    <row r="7155" spans="9:10" x14ac:dyDescent="0.3">
      <c r="I7155" s="72">
        <v>3576.5</v>
      </c>
      <c r="J7155" s="70">
        <v>1</v>
      </c>
    </row>
    <row r="7156" spans="9:10" x14ac:dyDescent="0.3">
      <c r="I7156" s="72">
        <v>3577</v>
      </c>
      <c r="J7156" s="70">
        <v>1</v>
      </c>
    </row>
    <row r="7157" spans="9:10" x14ac:dyDescent="0.3">
      <c r="I7157" s="72">
        <v>3577.5</v>
      </c>
      <c r="J7157" s="70">
        <v>1</v>
      </c>
    </row>
    <row r="7158" spans="9:10" x14ac:dyDescent="0.3">
      <c r="I7158" s="72">
        <v>3578</v>
      </c>
      <c r="J7158" s="70">
        <v>1</v>
      </c>
    </row>
    <row r="7159" spans="9:10" x14ac:dyDescent="0.3">
      <c r="I7159" s="72">
        <v>3578.5</v>
      </c>
      <c r="J7159" s="70">
        <v>1</v>
      </c>
    </row>
    <row r="7160" spans="9:10" x14ac:dyDescent="0.3">
      <c r="I7160" s="72">
        <v>3579</v>
      </c>
      <c r="J7160" s="70">
        <v>1</v>
      </c>
    </row>
    <row r="7161" spans="9:10" x14ac:dyDescent="0.3">
      <c r="I7161" s="72">
        <v>3579.5</v>
      </c>
      <c r="J7161" s="70">
        <v>1</v>
      </c>
    </row>
    <row r="7162" spans="9:10" x14ac:dyDescent="0.3">
      <c r="I7162" s="72">
        <v>3580</v>
      </c>
      <c r="J7162" s="70">
        <v>1</v>
      </c>
    </row>
    <row r="7163" spans="9:10" x14ac:dyDescent="0.3">
      <c r="I7163" s="72">
        <v>3580.5</v>
      </c>
      <c r="J7163" s="70">
        <v>1</v>
      </c>
    </row>
    <row r="7164" spans="9:10" x14ac:dyDescent="0.3">
      <c r="I7164" s="72">
        <v>3581</v>
      </c>
      <c r="J7164" s="70">
        <v>1</v>
      </c>
    </row>
    <row r="7165" spans="9:10" x14ac:dyDescent="0.3">
      <c r="I7165" s="72">
        <v>3581.5</v>
      </c>
      <c r="J7165" s="70">
        <v>1</v>
      </c>
    </row>
    <row r="7166" spans="9:10" x14ac:dyDescent="0.3">
      <c r="I7166" s="72">
        <v>3582</v>
      </c>
      <c r="J7166" s="70">
        <v>1</v>
      </c>
    </row>
    <row r="7167" spans="9:10" x14ac:dyDescent="0.3">
      <c r="I7167" s="72">
        <v>3582.5</v>
      </c>
      <c r="J7167" s="70">
        <v>1</v>
      </c>
    </row>
    <row r="7168" spans="9:10" x14ac:dyDescent="0.3">
      <c r="I7168" s="72">
        <v>3583</v>
      </c>
      <c r="J7168" s="70">
        <v>1</v>
      </c>
    </row>
    <row r="7169" spans="9:10" x14ac:dyDescent="0.3">
      <c r="I7169" s="72">
        <v>3583.5</v>
      </c>
      <c r="J7169" s="70">
        <v>1</v>
      </c>
    </row>
    <row r="7170" spans="9:10" x14ac:dyDescent="0.3">
      <c r="I7170" s="72">
        <v>3584</v>
      </c>
      <c r="J7170" s="70">
        <v>1</v>
      </c>
    </row>
    <row r="7171" spans="9:10" x14ac:dyDescent="0.3">
      <c r="I7171" s="72">
        <v>3584.5</v>
      </c>
      <c r="J7171" s="70">
        <v>1</v>
      </c>
    </row>
    <row r="7172" spans="9:10" x14ac:dyDescent="0.3">
      <c r="I7172" s="72">
        <v>3585</v>
      </c>
      <c r="J7172" s="70">
        <v>1</v>
      </c>
    </row>
    <row r="7173" spans="9:10" x14ac:dyDescent="0.3">
      <c r="I7173" s="72">
        <v>3585.5</v>
      </c>
      <c r="J7173" s="70">
        <v>1</v>
      </c>
    </row>
    <row r="7174" spans="9:10" x14ac:dyDescent="0.3">
      <c r="I7174" s="72">
        <v>3586</v>
      </c>
      <c r="J7174" s="70">
        <v>1</v>
      </c>
    </row>
    <row r="7175" spans="9:10" x14ac:dyDescent="0.3">
      <c r="I7175" s="72">
        <v>3586.5</v>
      </c>
      <c r="J7175" s="70">
        <v>1</v>
      </c>
    </row>
    <row r="7176" spans="9:10" x14ac:dyDescent="0.3">
      <c r="I7176" s="72">
        <v>3587</v>
      </c>
      <c r="J7176" s="70">
        <v>1</v>
      </c>
    </row>
    <row r="7177" spans="9:10" x14ac:dyDescent="0.3">
      <c r="I7177" s="72">
        <v>3587.5</v>
      </c>
      <c r="J7177" s="70">
        <v>1</v>
      </c>
    </row>
    <row r="7178" spans="9:10" x14ac:dyDescent="0.3">
      <c r="I7178" s="72">
        <v>3588</v>
      </c>
      <c r="J7178" s="70">
        <v>1</v>
      </c>
    </row>
    <row r="7179" spans="9:10" x14ac:dyDescent="0.3">
      <c r="I7179" s="72">
        <v>3588.5</v>
      </c>
      <c r="J7179" s="70">
        <v>1</v>
      </c>
    </row>
    <row r="7180" spans="9:10" x14ac:dyDescent="0.3">
      <c r="I7180" s="72">
        <v>3589</v>
      </c>
      <c r="J7180" s="70">
        <v>1</v>
      </c>
    </row>
    <row r="7181" spans="9:10" x14ac:dyDescent="0.3">
      <c r="I7181" s="72">
        <v>3589.5</v>
      </c>
      <c r="J7181" s="70">
        <v>1</v>
      </c>
    </row>
    <row r="7182" spans="9:10" x14ac:dyDescent="0.3">
      <c r="I7182" s="72">
        <v>3590</v>
      </c>
      <c r="J7182" s="70">
        <v>1</v>
      </c>
    </row>
    <row r="7183" spans="9:10" x14ac:dyDescent="0.3">
      <c r="I7183" s="72">
        <v>3590.5</v>
      </c>
      <c r="J7183" s="70">
        <v>1</v>
      </c>
    </row>
    <row r="7184" spans="9:10" x14ac:dyDescent="0.3">
      <c r="I7184" s="72">
        <v>3591</v>
      </c>
      <c r="J7184" s="70">
        <v>1</v>
      </c>
    </row>
    <row r="7185" spans="9:10" x14ac:dyDescent="0.3">
      <c r="I7185" s="72">
        <v>3591.5</v>
      </c>
      <c r="J7185" s="70">
        <v>1</v>
      </c>
    </row>
    <row r="7186" spans="9:10" x14ac:dyDescent="0.3">
      <c r="I7186" s="72">
        <v>3592</v>
      </c>
      <c r="J7186" s="70">
        <v>1</v>
      </c>
    </row>
    <row r="7187" spans="9:10" x14ac:dyDescent="0.3">
      <c r="I7187" s="72">
        <v>3592.5</v>
      </c>
      <c r="J7187" s="70">
        <v>1</v>
      </c>
    </row>
    <row r="7188" spans="9:10" x14ac:dyDescent="0.3">
      <c r="I7188" s="72">
        <v>3593</v>
      </c>
      <c r="J7188" s="70">
        <v>1</v>
      </c>
    </row>
    <row r="7189" spans="9:10" x14ac:dyDescent="0.3">
      <c r="I7189" s="72">
        <v>3593.5</v>
      </c>
      <c r="J7189" s="70">
        <v>1</v>
      </c>
    </row>
    <row r="7190" spans="9:10" x14ac:dyDescent="0.3">
      <c r="I7190" s="72">
        <v>3594</v>
      </c>
      <c r="J7190" s="70">
        <v>1</v>
      </c>
    </row>
    <row r="7191" spans="9:10" x14ac:dyDescent="0.3">
      <c r="I7191" s="72">
        <v>3594.5</v>
      </c>
      <c r="J7191" s="70">
        <v>1</v>
      </c>
    </row>
    <row r="7192" spans="9:10" x14ac:dyDescent="0.3">
      <c r="I7192" s="72">
        <v>3595</v>
      </c>
      <c r="J7192" s="70">
        <v>1</v>
      </c>
    </row>
    <row r="7193" spans="9:10" x14ac:dyDescent="0.3">
      <c r="I7193" s="72">
        <v>3595.5</v>
      </c>
      <c r="J7193" s="70">
        <v>1</v>
      </c>
    </row>
    <row r="7194" spans="9:10" x14ac:dyDescent="0.3">
      <c r="I7194" s="72">
        <v>3596</v>
      </c>
      <c r="J7194" s="70">
        <v>1</v>
      </c>
    </row>
    <row r="7195" spans="9:10" x14ac:dyDescent="0.3">
      <c r="I7195" s="72">
        <v>3596.5</v>
      </c>
      <c r="J7195" s="70">
        <v>1</v>
      </c>
    </row>
    <row r="7196" spans="9:10" x14ac:dyDescent="0.3">
      <c r="I7196" s="72">
        <v>3597</v>
      </c>
      <c r="J7196" s="70">
        <v>1</v>
      </c>
    </row>
    <row r="7197" spans="9:10" x14ac:dyDescent="0.3">
      <c r="I7197" s="72">
        <v>3597.5</v>
      </c>
      <c r="J7197" s="70">
        <v>1</v>
      </c>
    </row>
    <row r="7198" spans="9:10" x14ac:dyDescent="0.3">
      <c r="I7198" s="72">
        <v>3598</v>
      </c>
      <c r="J7198" s="70">
        <v>1</v>
      </c>
    </row>
    <row r="7199" spans="9:10" x14ac:dyDescent="0.3">
      <c r="I7199" s="72">
        <v>3598.5</v>
      </c>
      <c r="J7199" s="70">
        <v>1</v>
      </c>
    </row>
    <row r="7200" spans="9:10" x14ac:dyDescent="0.3">
      <c r="I7200" s="72">
        <v>3599</v>
      </c>
      <c r="J7200" s="70">
        <v>1</v>
      </c>
    </row>
    <row r="7201" spans="9:10" x14ac:dyDescent="0.3">
      <c r="I7201" s="72">
        <v>3599.5</v>
      </c>
      <c r="J7201" s="70">
        <v>1</v>
      </c>
    </row>
    <row r="7202" spans="9:10" x14ac:dyDescent="0.3">
      <c r="I7202" s="72">
        <v>3600</v>
      </c>
      <c r="J7202" s="70">
        <v>1</v>
      </c>
    </row>
    <row r="7203" spans="9:10" x14ac:dyDescent="0.3">
      <c r="I7203" s="72">
        <v>3600.5</v>
      </c>
      <c r="J7203" s="70">
        <v>1</v>
      </c>
    </row>
    <row r="7204" spans="9:10" x14ac:dyDescent="0.3">
      <c r="I7204" s="72">
        <v>3601</v>
      </c>
      <c r="J7204" s="70">
        <v>1</v>
      </c>
    </row>
    <row r="7205" spans="9:10" x14ac:dyDescent="0.3">
      <c r="I7205" s="72">
        <v>3601.5</v>
      </c>
      <c r="J7205" s="70">
        <v>1</v>
      </c>
    </row>
    <row r="7206" spans="9:10" x14ac:dyDescent="0.3">
      <c r="I7206" s="72">
        <v>3602</v>
      </c>
      <c r="J7206" s="70">
        <v>1</v>
      </c>
    </row>
    <row r="7207" spans="9:10" x14ac:dyDescent="0.3">
      <c r="I7207" s="72">
        <v>3602.5</v>
      </c>
      <c r="J7207" s="70">
        <v>1</v>
      </c>
    </row>
    <row r="7208" spans="9:10" x14ac:dyDescent="0.3">
      <c r="I7208" s="72">
        <v>3603</v>
      </c>
      <c r="J7208" s="70">
        <v>1</v>
      </c>
    </row>
    <row r="7209" spans="9:10" x14ac:dyDescent="0.3">
      <c r="I7209" s="72">
        <v>3603.5</v>
      </c>
      <c r="J7209" s="70">
        <v>1</v>
      </c>
    </row>
    <row r="7210" spans="9:10" x14ac:dyDescent="0.3">
      <c r="I7210" s="72">
        <v>3604</v>
      </c>
      <c r="J7210" s="70">
        <v>1</v>
      </c>
    </row>
    <row r="7211" spans="9:10" x14ac:dyDescent="0.3">
      <c r="I7211" s="72">
        <v>3604.5</v>
      </c>
      <c r="J7211" s="70">
        <v>1</v>
      </c>
    </row>
    <row r="7212" spans="9:10" x14ac:dyDescent="0.3">
      <c r="I7212" s="72">
        <v>3605</v>
      </c>
      <c r="J7212" s="70">
        <v>1</v>
      </c>
    </row>
    <row r="7213" spans="9:10" x14ac:dyDescent="0.3">
      <c r="I7213" s="72">
        <v>3605.5</v>
      </c>
      <c r="J7213" s="70">
        <v>1</v>
      </c>
    </row>
    <row r="7214" spans="9:10" x14ac:dyDescent="0.3">
      <c r="I7214" s="72">
        <v>3606</v>
      </c>
      <c r="J7214" s="70">
        <v>1</v>
      </c>
    </row>
    <row r="7215" spans="9:10" x14ac:dyDescent="0.3">
      <c r="I7215" s="72">
        <v>3606.5</v>
      </c>
      <c r="J7215" s="70">
        <v>1</v>
      </c>
    </row>
    <row r="7216" spans="9:10" x14ac:dyDescent="0.3">
      <c r="I7216" s="72">
        <v>3607</v>
      </c>
      <c r="J7216" s="70">
        <v>1</v>
      </c>
    </row>
    <row r="7217" spans="9:10" x14ac:dyDescent="0.3">
      <c r="I7217" s="72">
        <v>3607.5</v>
      </c>
      <c r="J7217" s="70">
        <v>1</v>
      </c>
    </row>
    <row r="7218" spans="9:10" x14ac:dyDescent="0.3">
      <c r="I7218" s="72">
        <v>3608</v>
      </c>
      <c r="J7218" s="70">
        <v>1</v>
      </c>
    </row>
    <row r="7219" spans="9:10" x14ac:dyDescent="0.3">
      <c r="I7219" s="72">
        <v>3608.5</v>
      </c>
      <c r="J7219" s="70">
        <v>1</v>
      </c>
    </row>
    <row r="7220" spans="9:10" x14ac:dyDescent="0.3">
      <c r="I7220" s="72">
        <v>3609</v>
      </c>
      <c r="J7220" s="70">
        <v>1</v>
      </c>
    </row>
    <row r="7221" spans="9:10" x14ac:dyDescent="0.3">
      <c r="I7221" s="72">
        <v>3609.5</v>
      </c>
      <c r="J7221" s="70">
        <v>1</v>
      </c>
    </row>
    <row r="7222" spans="9:10" x14ac:dyDescent="0.3">
      <c r="I7222" s="72">
        <v>3610</v>
      </c>
      <c r="J7222" s="70">
        <v>1</v>
      </c>
    </row>
    <row r="7223" spans="9:10" x14ac:dyDescent="0.3">
      <c r="I7223" s="72">
        <v>3610.5</v>
      </c>
      <c r="J7223" s="70">
        <v>1</v>
      </c>
    </row>
    <row r="7224" spans="9:10" x14ac:dyDescent="0.3">
      <c r="I7224" s="72">
        <v>3611</v>
      </c>
      <c r="J7224" s="70">
        <v>1</v>
      </c>
    </row>
    <row r="7225" spans="9:10" x14ac:dyDescent="0.3">
      <c r="I7225" s="72">
        <v>3611.5</v>
      </c>
      <c r="J7225" s="70">
        <v>1</v>
      </c>
    </row>
    <row r="7226" spans="9:10" x14ac:dyDescent="0.3">
      <c r="I7226" s="72">
        <v>3612</v>
      </c>
      <c r="J7226" s="70">
        <v>1</v>
      </c>
    </row>
    <row r="7227" spans="9:10" x14ac:dyDescent="0.3">
      <c r="I7227" s="72">
        <v>3612.5</v>
      </c>
      <c r="J7227" s="70">
        <v>1</v>
      </c>
    </row>
    <row r="7228" spans="9:10" x14ac:dyDescent="0.3">
      <c r="I7228" s="72">
        <v>3613</v>
      </c>
      <c r="J7228" s="70">
        <v>1</v>
      </c>
    </row>
    <row r="7229" spans="9:10" x14ac:dyDescent="0.3">
      <c r="I7229" s="72">
        <v>3613.5</v>
      </c>
      <c r="J7229" s="70">
        <v>1</v>
      </c>
    </row>
    <row r="7230" spans="9:10" x14ac:dyDescent="0.3">
      <c r="I7230" s="72">
        <v>3614</v>
      </c>
      <c r="J7230" s="70">
        <v>1</v>
      </c>
    </row>
    <row r="7231" spans="9:10" x14ac:dyDescent="0.3">
      <c r="I7231" s="72">
        <v>3614.5</v>
      </c>
      <c r="J7231" s="70">
        <v>1</v>
      </c>
    </row>
    <row r="7232" spans="9:10" x14ac:dyDescent="0.3">
      <c r="I7232" s="72">
        <v>3615</v>
      </c>
      <c r="J7232" s="70">
        <v>1</v>
      </c>
    </row>
    <row r="7233" spans="9:10" x14ac:dyDescent="0.3">
      <c r="I7233" s="72">
        <v>3615.5</v>
      </c>
      <c r="J7233" s="70">
        <v>1</v>
      </c>
    </row>
    <row r="7234" spans="9:10" x14ac:dyDescent="0.3">
      <c r="I7234" s="72">
        <v>3616</v>
      </c>
      <c r="J7234" s="70">
        <v>1</v>
      </c>
    </row>
    <row r="7235" spans="9:10" x14ac:dyDescent="0.3">
      <c r="I7235" s="72">
        <v>3616.5</v>
      </c>
      <c r="J7235" s="70">
        <v>1</v>
      </c>
    </row>
    <row r="7236" spans="9:10" x14ac:dyDescent="0.3">
      <c r="I7236" s="72">
        <v>3617</v>
      </c>
      <c r="J7236" s="70">
        <v>1</v>
      </c>
    </row>
    <row r="7237" spans="9:10" x14ac:dyDescent="0.3">
      <c r="I7237" s="72">
        <v>3617.5</v>
      </c>
      <c r="J7237" s="70">
        <v>1</v>
      </c>
    </row>
    <row r="7238" spans="9:10" x14ac:dyDescent="0.3">
      <c r="I7238" s="72">
        <v>3618</v>
      </c>
      <c r="J7238" s="70">
        <v>1</v>
      </c>
    </row>
    <row r="7239" spans="9:10" x14ac:dyDescent="0.3">
      <c r="I7239" s="72">
        <v>3618.5</v>
      </c>
      <c r="J7239" s="70">
        <v>1</v>
      </c>
    </row>
    <row r="7240" spans="9:10" x14ac:dyDescent="0.3">
      <c r="I7240" s="72">
        <v>3619</v>
      </c>
      <c r="J7240" s="70">
        <v>1</v>
      </c>
    </row>
    <row r="7241" spans="9:10" x14ac:dyDescent="0.3">
      <c r="I7241" s="72">
        <v>3619.5</v>
      </c>
      <c r="J7241" s="70">
        <v>1</v>
      </c>
    </row>
    <row r="7242" spans="9:10" x14ac:dyDescent="0.3">
      <c r="I7242" s="72">
        <v>3620</v>
      </c>
      <c r="J7242" s="70">
        <v>1</v>
      </c>
    </row>
    <row r="7243" spans="9:10" x14ac:dyDescent="0.3">
      <c r="I7243" s="72">
        <v>3620.5</v>
      </c>
      <c r="J7243" s="70">
        <v>1</v>
      </c>
    </row>
    <row r="7244" spans="9:10" x14ac:dyDescent="0.3">
      <c r="I7244" s="72">
        <v>3621</v>
      </c>
      <c r="J7244" s="70">
        <v>1</v>
      </c>
    </row>
    <row r="7245" spans="9:10" x14ac:dyDescent="0.3">
      <c r="I7245" s="72">
        <v>3621.5</v>
      </c>
      <c r="J7245" s="70">
        <v>1</v>
      </c>
    </row>
    <row r="7246" spans="9:10" x14ac:dyDescent="0.3">
      <c r="I7246" s="72">
        <v>3622</v>
      </c>
      <c r="J7246" s="70">
        <v>1</v>
      </c>
    </row>
    <row r="7247" spans="9:10" x14ac:dyDescent="0.3">
      <c r="I7247" s="72">
        <v>3622.5</v>
      </c>
      <c r="J7247" s="70">
        <v>1</v>
      </c>
    </row>
    <row r="7248" spans="9:10" x14ac:dyDescent="0.3">
      <c r="I7248" s="72">
        <v>3623</v>
      </c>
      <c r="J7248" s="70">
        <v>1</v>
      </c>
    </row>
    <row r="7249" spans="9:10" x14ac:dyDescent="0.3">
      <c r="I7249" s="72">
        <v>3623.5</v>
      </c>
      <c r="J7249" s="70">
        <v>1</v>
      </c>
    </row>
    <row r="7250" spans="9:10" x14ac:dyDescent="0.3">
      <c r="I7250" s="72">
        <v>3624</v>
      </c>
      <c r="J7250" s="70">
        <v>1</v>
      </c>
    </row>
    <row r="7251" spans="9:10" x14ac:dyDescent="0.3">
      <c r="I7251" s="72">
        <v>3624.5</v>
      </c>
      <c r="J7251" s="70">
        <v>1</v>
      </c>
    </row>
    <row r="7252" spans="9:10" x14ac:dyDescent="0.3">
      <c r="I7252" s="72">
        <v>3625</v>
      </c>
      <c r="J7252" s="70">
        <v>1</v>
      </c>
    </row>
    <row r="7253" spans="9:10" x14ac:dyDescent="0.3">
      <c r="I7253" s="72">
        <v>3625.5</v>
      </c>
      <c r="J7253" s="70">
        <v>1</v>
      </c>
    </row>
    <row r="7254" spans="9:10" x14ac:dyDescent="0.3">
      <c r="I7254" s="72">
        <v>3626</v>
      </c>
      <c r="J7254" s="70">
        <v>1</v>
      </c>
    </row>
    <row r="7255" spans="9:10" x14ac:dyDescent="0.3">
      <c r="I7255" s="72">
        <v>3626.5</v>
      </c>
      <c r="J7255" s="70">
        <v>1</v>
      </c>
    </row>
    <row r="7256" spans="9:10" x14ac:dyDescent="0.3">
      <c r="I7256" s="72">
        <v>3627</v>
      </c>
      <c r="J7256" s="70">
        <v>1</v>
      </c>
    </row>
    <row r="7257" spans="9:10" x14ac:dyDescent="0.3">
      <c r="I7257" s="72">
        <v>3627.5</v>
      </c>
      <c r="J7257" s="70">
        <v>1</v>
      </c>
    </row>
    <row r="7258" spans="9:10" x14ac:dyDescent="0.3">
      <c r="I7258" s="72">
        <v>3628</v>
      </c>
      <c r="J7258" s="70">
        <v>1</v>
      </c>
    </row>
    <row r="7259" spans="9:10" x14ac:dyDescent="0.3">
      <c r="I7259" s="72">
        <v>3628.5</v>
      </c>
      <c r="J7259" s="70">
        <v>1</v>
      </c>
    </row>
    <row r="7260" spans="9:10" x14ac:dyDescent="0.3">
      <c r="I7260" s="72">
        <v>3629</v>
      </c>
      <c r="J7260" s="70">
        <v>1</v>
      </c>
    </row>
    <row r="7261" spans="9:10" x14ac:dyDescent="0.3">
      <c r="I7261" s="72">
        <v>3629.5</v>
      </c>
      <c r="J7261" s="70">
        <v>1</v>
      </c>
    </row>
    <row r="7262" spans="9:10" x14ac:dyDescent="0.3">
      <c r="I7262" s="72">
        <v>3630</v>
      </c>
      <c r="J7262" s="70">
        <v>1</v>
      </c>
    </row>
    <row r="7263" spans="9:10" x14ac:dyDescent="0.3">
      <c r="I7263" s="72">
        <v>3630.5</v>
      </c>
      <c r="J7263" s="70">
        <v>1</v>
      </c>
    </row>
    <row r="7264" spans="9:10" x14ac:dyDescent="0.3">
      <c r="I7264" s="72">
        <v>3631</v>
      </c>
      <c r="J7264" s="70">
        <v>1</v>
      </c>
    </row>
    <row r="7265" spans="9:10" x14ac:dyDescent="0.3">
      <c r="I7265" s="72">
        <v>3631.5</v>
      </c>
      <c r="J7265" s="70">
        <v>1</v>
      </c>
    </row>
    <row r="7266" spans="9:10" x14ac:dyDescent="0.3">
      <c r="I7266" s="72">
        <v>3632</v>
      </c>
      <c r="J7266" s="70">
        <v>1</v>
      </c>
    </row>
    <row r="7267" spans="9:10" x14ac:dyDescent="0.3">
      <c r="I7267" s="72">
        <v>3632.5</v>
      </c>
      <c r="J7267" s="70">
        <v>1</v>
      </c>
    </row>
    <row r="7268" spans="9:10" x14ac:dyDescent="0.3">
      <c r="I7268" s="72">
        <v>3633</v>
      </c>
      <c r="J7268" s="70">
        <v>1</v>
      </c>
    </row>
    <row r="7269" spans="9:10" x14ac:dyDescent="0.3">
      <c r="I7269" s="72">
        <v>3633.5</v>
      </c>
      <c r="J7269" s="70">
        <v>1</v>
      </c>
    </row>
    <row r="7270" spans="9:10" x14ac:dyDescent="0.3">
      <c r="I7270" s="72">
        <v>3634</v>
      </c>
      <c r="J7270" s="70">
        <v>1</v>
      </c>
    </row>
    <row r="7271" spans="9:10" x14ac:dyDescent="0.3">
      <c r="I7271" s="72">
        <v>3634.5</v>
      </c>
      <c r="J7271" s="70">
        <v>1</v>
      </c>
    </row>
    <row r="7272" spans="9:10" x14ac:dyDescent="0.3">
      <c r="I7272" s="72">
        <v>3635</v>
      </c>
      <c r="J7272" s="70">
        <v>1</v>
      </c>
    </row>
    <row r="7273" spans="9:10" x14ac:dyDescent="0.3">
      <c r="I7273" s="72">
        <v>3635.5</v>
      </c>
      <c r="J7273" s="70">
        <v>1</v>
      </c>
    </row>
    <row r="7274" spans="9:10" x14ac:dyDescent="0.3">
      <c r="I7274" s="72">
        <v>3636</v>
      </c>
      <c r="J7274" s="70">
        <v>1</v>
      </c>
    </row>
    <row r="7275" spans="9:10" x14ac:dyDescent="0.3">
      <c r="I7275" s="72">
        <v>3636.5</v>
      </c>
      <c r="J7275" s="70">
        <v>1</v>
      </c>
    </row>
    <row r="7276" spans="9:10" x14ac:dyDescent="0.3">
      <c r="I7276" s="72">
        <v>3637</v>
      </c>
      <c r="J7276" s="70">
        <v>1</v>
      </c>
    </row>
    <row r="7277" spans="9:10" x14ac:dyDescent="0.3">
      <c r="I7277" s="72">
        <v>3637.5</v>
      </c>
      <c r="J7277" s="70">
        <v>1</v>
      </c>
    </row>
    <row r="7278" spans="9:10" x14ac:dyDescent="0.3">
      <c r="I7278" s="72">
        <v>3638</v>
      </c>
      <c r="J7278" s="70">
        <v>1</v>
      </c>
    </row>
    <row r="7279" spans="9:10" x14ac:dyDescent="0.3">
      <c r="I7279" s="72">
        <v>3638.5</v>
      </c>
      <c r="J7279" s="70">
        <v>1</v>
      </c>
    </row>
    <row r="7280" spans="9:10" x14ac:dyDescent="0.3">
      <c r="I7280" s="72">
        <v>3639</v>
      </c>
      <c r="J7280" s="70">
        <v>1</v>
      </c>
    </row>
    <row r="7281" spans="9:10" x14ac:dyDescent="0.3">
      <c r="I7281" s="72">
        <v>3639.5</v>
      </c>
      <c r="J7281" s="70">
        <v>1</v>
      </c>
    </row>
    <row r="7282" spans="9:10" x14ac:dyDescent="0.3">
      <c r="I7282" s="72">
        <v>3640</v>
      </c>
      <c r="J7282" s="70">
        <v>1</v>
      </c>
    </row>
    <row r="7283" spans="9:10" x14ac:dyDescent="0.3">
      <c r="I7283" s="72">
        <v>3640.5</v>
      </c>
      <c r="J7283" s="70">
        <v>1</v>
      </c>
    </row>
    <row r="7284" spans="9:10" x14ac:dyDescent="0.3">
      <c r="I7284" s="72">
        <v>3641</v>
      </c>
      <c r="J7284" s="70">
        <v>1</v>
      </c>
    </row>
    <row r="7285" spans="9:10" x14ac:dyDescent="0.3">
      <c r="I7285" s="72">
        <v>3641.5</v>
      </c>
      <c r="J7285" s="70">
        <v>1</v>
      </c>
    </row>
    <row r="7286" spans="9:10" x14ac:dyDescent="0.3">
      <c r="I7286" s="72">
        <v>3642</v>
      </c>
      <c r="J7286" s="70">
        <v>1</v>
      </c>
    </row>
    <row r="7287" spans="9:10" x14ac:dyDescent="0.3">
      <c r="I7287" s="72">
        <v>3642.5</v>
      </c>
      <c r="J7287" s="70">
        <v>1</v>
      </c>
    </row>
    <row r="7288" spans="9:10" x14ac:dyDescent="0.3">
      <c r="I7288" s="72">
        <v>3643</v>
      </c>
      <c r="J7288" s="70">
        <v>1</v>
      </c>
    </row>
    <row r="7289" spans="9:10" x14ac:dyDescent="0.3">
      <c r="I7289" s="72">
        <v>3643.5</v>
      </c>
      <c r="J7289" s="70">
        <v>1</v>
      </c>
    </row>
    <row r="7290" spans="9:10" x14ac:dyDescent="0.3">
      <c r="I7290" s="72">
        <v>3644</v>
      </c>
      <c r="J7290" s="70">
        <v>1</v>
      </c>
    </row>
    <row r="7291" spans="9:10" x14ac:dyDescent="0.3">
      <c r="I7291" s="72">
        <v>3644.5</v>
      </c>
      <c r="J7291" s="70">
        <v>1</v>
      </c>
    </row>
    <row r="7292" spans="9:10" x14ac:dyDescent="0.3">
      <c r="I7292" s="72">
        <v>3645</v>
      </c>
      <c r="J7292" s="70">
        <v>1</v>
      </c>
    </row>
    <row r="7293" spans="9:10" x14ac:dyDescent="0.3">
      <c r="I7293" s="72">
        <v>3645.5</v>
      </c>
      <c r="J7293" s="70">
        <v>1</v>
      </c>
    </row>
    <row r="7294" spans="9:10" x14ac:dyDescent="0.3">
      <c r="I7294" s="72">
        <v>3646</v>
      </c>
      <c r="J7294" s="70">
        <v>1</v>
      </c>
    </row>
    <row r="7295" spans="9:10" x14ac:dyDescent="0.3">
      <c r="I7295" s="72">
        <v>3646.5</v>
      </c>
      <c r="J7295" s="70">
        <v>1</v>
      </c>
    </row>
    <row r="7296" spans="9:10" x14ac:dyDescent="0.3">
      <c r="I7296" s="72">
        <v>3647</v>
      </c>
      <c r="J7296" s="70">
        <v>1</v>
      </c>
    </row>
    <row r="7297" spans="9:10" x14ac:dyDescent="0.3">
      <c r="I7297" s="72">
        <v>3647.5</v>
      </c>
      <c r="J7297" s="70">
        <v>1</v>
      </c>
    </row>
    <row r="7298" spans="9:10" x14ac:dyDescent="0.3">
      <c r="I7298" s="72">
        <v>3648</v>
      </c>
      <c r="J7298" s="70">
        <v>1</v>
      </c>
    </row>
    <row r="7299" spans="9:10" x14ac:dyDescent="0.3">
      <c r="I7299" s="72">
        <v>3648.5</v>
      </c>
      <c r="J7299" s="70">
        <v>1</v>
      </c>
    </row>
    <row r="7300" spans="9:10" x14ac:dyDescent="0.3">
      <c r="I7300" s="72">
        <v>3649</v>
      </c>
      <c r="J7300" s="70">
        <v>1</v>
      </c>
    </row>
    <row r="7301" spans="9:10" x14ac:dyDescent="0.3">
      <c r="I7301" s="72">
        <v>3649.5</v>
      </c>
      <c r="J7301" s="70">
        <v>1</v>
      </c>
    </row>
    <row r="7302" spans="9:10" x14ac:dyDescent="0.3">
      <c r="I7302" s="72">
        <v>3650</v>
      </c>
      <c r="J7302" s="70">
        <v>1</v>
      </c>
    </row>
    <row r="7303" spans="9:10" x14ac:dyDescent="0.3">
      <c r="I7303" s="72">
        <v>3650.5</v>
      </c>
      <c r="J7303" s="70">
        <v>1</v>
      </c>
    </row>
    <row r="7304" spans="9:10" x14ac:dyDescent="0.3">
      <c r="I7304" s="72">
        <v>3651</v>
      </c>
      <c r="J7304" s="70">
        <v>1</v>
      </c>
    </row>
    <row r="7305" spans="9:10" x14ac:dyDescent="0.3">
      <c r="I7305" s="72">
        <v>3651.5</v>
      </c>
      <c r="J7305" s="70">
        <v>1</v>
      </c>
    </row>
    <row r="7306" spans="9:10" x14ac:dyDescent="0.3">
      <c r="I7306" s="72">
        <v>3652</v>
      </c>
      <c r="J7306" s="70">
        <v>1</v>
      </c>
    </row>
    <row r="7307" spans="9:10" x14ac:dyDescent="0.3">
      <c r="I7307" s="72">
        <v>3652.5</v>
      </c>
      <c r="J7307" s="70">
        <v>1</v>
      </c>
    </row>
    <row r="7308" spans="9:10" x14ac:dyDescent="0.3">
      <c r="I7308" s="72">
        <v>3653</v>
      </c>
      <c r="J7308" s="70">
        <v>1</v>
      </c>
    </row>
    <row r="7309" spans="9:10" x14ac:dyDescent="0.3">
      <c r="I7309" s="72">
        <v>3653.5</v>
      </c>
      <c r="J7309" s="70">
        <v>1</v>
      </c>
    </row>
    <row r="7310" spans="9:10" x14ac:dyDescent="0.3">
      <c r="I7310" s="72">
        <v>3654</v>
      </c>
      <c r="J7310" s="70">
        <v>1</v>
      </c>
    </row>
    <row r="7311" spans="9:10" x14ac:dyDescent="0.3">
      <c r="I7311" s="72">
        <v>3654.5</v>
      </c>
      <c r="J7311" s="70">
        <v>1</v>
      </c>
    </row>
    <row r="7312" spans="9:10" x14ac:dyDescent="0.3">
      <c r="I7312" s="72">
        <v>3655</v>
      </c>
      <c r="J7312" s="70">
        <v>1</v>
      </c>
    </row>
    <row r="7313" spans="9:10" x14ac:dyDescent="0.3">
      <c r="I7313" s="72">
        <v>3655.5</v>
      </c>
      <c r="J7313" s="70">
        <v>1</v>
      </c>
    </row>
    <row r="7314" spans="9:10" x14ac:dyDescent="0.3">
      <c r="I7314" s="72">
        <v>3656</v>
      </c>
      <c r="J7314" s="70">
        <v>1</v>
      </c>
    </row>
    <row r="7315" spans="9:10" x14ac:dyDescent="0.3">
      <c r="I7315" s="72">
        <v>3656.5</v>
      </c>
      <c r="J7315" s="70">
        <v>1</v>
      </c>
    </row>
    <row r="7316" spans="9:10" x14ac:dyDescent="0.3">
      <c r="I7316" s="72">
        <v>3657</v>
      </c>
      <c r="J7316" s="70">
        <v>1</v>
      </c>
    </row>
    <row r="7317" spans="9:10" x14ac:dyDescent="0.3">
      <c r="I7317" s="72">
        <v>3657.5</v>
      </c>
      <c r="J7317" s="70">
        <v>1</v>
      </c>
    </row>
    <row r="7318" spans="9:10" x14ac:dyDescent="0.3">
      <c r="I7318" s="72">
        <v>3658</v>
      </c>
      <c r="J7318" s="70">
        <v>1</v>
      </c>
    </row>
    <row r="7319" spans="9:10" x14ac:dyDescent="0.3">
      <c r="I7319" s="72">
        <v>3658.5</v>
      </c>
      <c r="J7319" s="70">
        <v>1</v>
      </c>
    </row>
    <row r="7320" spans="9:10" x14ac:dyDescent="0.3">
      <c r="I7320" s="72">
        <v>3659</v>
      </c>
      <c r="J7320" s="70">
        <v>1</v>
      </c>
    </row>
    <row r="7321" spans="9:10" x14ac:dyDescent="0.3">
      <c r="I7321" s="72">
        <v>3659.5</v>
      </c>
      <c r="J7321" s="70">
        <v>1</v>
      </c>
    </row>
    <row r="7322" spans="9:10" x14ac:dyDescent="0.3">
      <c r="I7322" s="72">
        <v>3660</v>
      </c>
      <c r="J7322" s="70">
        <v>1</v>
      </c>
    </row>
    <row r="7323" spans="9:10" x14ac:dyDescent="0.3">
      <c r="I7323" s="72">
        <v>3660.5</v>
      </c>
      <c r="J7323" s="70">
        <v>1</v>
      </c>
    </row>
    <row r="7324" spans="9:10" x14ac:dyDescent="0.3">
      <c r="I7324" s="72">
        <v>3661</v>
      </c>
      <c r="J7324" s="70">
        <v>1</v>
      </c>
    </row>
    <row r="7325" spans="9:10" x14ac:dyDescent="0.3">
      <c r="I7325" s="72">
        <v>3661.5</v>
      </c>
      <c r="J7325" s="70">
        <v>1</v>
      </c>
    </row>
    <row r="7326" spans="9:10" x14ac:dyDescent="0.3">
      <c r="I7326" s="72">
        <v>3662</v>
      </c>
      <c r="J7326" s="70">
        <v>1</v>
      </c>
    </row>
    <row r="7327" spans="9:10" x14ac:dyDescent="0.3">
      <c r="I7327" s="72">
        <v>3662.5</v>
      </c>
      <c r="J7327" s="70">
        <v>1</v>
      </c>
    </row>
    <row r="7328" spans="9:10" x14ac:dyDescent="0.3">
      <c r="I7328" s="72">
        <v>3663</v>
      </c>
      <c r="J7328" s="70">
        <v>1</v>
      </c>
    </row>
    <row r="7329" spans="9:10" x14ac:dyDescent="0.3">
      <c r="I7329" s="72">
        <v>3663.5</v>
      </c>
      <c r="J7329" s="70">
        <v>1</v>
      </c>
    </row>
    <row r="7330" spans="9:10" x14ac:dyDescent="0.3">
      <c r="I7330" s="72">
        <v>3664</v>
      </c>
      <c r="J7330" s="70">
        <v>1</v>
      </c>
    </row>
    <row r="7331" spans="9:10" x14ac:dyDescent="0.3">
      <c r="I7331" s="72">
        <v>3664.5</v>
      </c>
      <c r="J7331" s="70">
        <v>1</v>
      </c>
    </row>
    <row r="7332" spans="9:10" x14ac:dyDescent="0.3">
      <c r="I7332" s="72">
        <v>3665</v>
      </c>
      <c r="J7332" s="70">
        <v>1</v>
      </c>
    </row>
    <row r="7333" spans="9:10" x14ac:dyDescent="0.3">
      <c r="I7333" s="72">
        <v>3665.5</v>
      </c>
      <c r="J7333" s="70">
        <v>1</v>
      </c>
    </row>
    <row r="7334" spans="9:10" x14ac:dyDescent="0.3">
      <c r="I7334" s="72">
        <v>3666</v>
      </c>
      <c r="J7334" s="70">
        <v>1</v>
      </c>
    </row>
    <row r="7335" spans="9:10" x14ac:dyDescent="0.3">
      <c r="I7335" s="72">
        <v>3666.5</v>
      </c>
      <c r="J7335" s="70">
        <v>1</v>
      </c>
    </row>
    <row r="7336" spans="9:10" x14ac:dyDescent="0.3">
      <c r="I7336" s="72">
        <v>3667</v>
      </c>
      <c r="J7336" s="70">
        <v>1</v>
      </c>
    </row>
    <row r="7337" spans="9:10" x14ac:dyDescent="0.3">
      <c r="I7337" s="72">
        <v>3667.5</v>
      </c>
      <c r="J7337" s="70">
        <v>1</v>
      </c>
    </row>
    <row r="7338" spans="9:10" x14ac:dyDescent="0.3">
      <c r="I7338" s="72">
        <v>3668</v>
      </c>
      <c r="J7338" s="70">
        <v>1</v>
      </c>
    </row>
    <row r="7339" spans="9:10" x14ac:dyDescent="0.3">
      <c r="I7339" s="72">
        <v>3668.5</v>
      </c>
      <c r="J7339" s="70">
        <v>1</v>
      </c>
    </row>
    <row r="7340" spans="9:10" x14ac:dyDescent="0.3">
      <c r="I7340" s="72">
        <v>3669</v>
      </c>
      <c r="J7340" s="70">
        <v>1</v>
      </c>
    </row>
    <row r="7341" spans="9:10" x14ac:dyDescent="0.3">
      <c r="I7341" s="72">
        <v>3669.5</v>
      </c>
      <c r="J7341" s="70">
        <v>1</v>
      </c>
    </row>
    <row r="7342" spans="9:10" x14ac:dyDescent="0.3">
      <c r="I7342" s="72">
        <v>3670</v>
      </c>
      <c r="J7342" s="70">
        <v>1</v>
      </c>
    </row>
    <row r="7343" spans="9:10" x14ac:dyDescent="0.3">
      <c r="I7343" s="72">
        <v>3670.5</v>
      </c>
      <c r="J7343" s="70">
        <v>1</v>
      </c>
    </row>
    <row r="7344" spans="9:10" x14ac:dyDescent="0.3">
      <c r="I7344" s="72">
        <v>3671</v>
      </c>
      <c r="J7344" s="70">
        <v>1</v>
      </c>
    </row>
    <row r="7345" spans="9:10" x14ac:dyDescent="0.3">
      <c r="I7345" s="72">
        <v>3671.5</v>
      </c>
      <c r="J7345" s="70">
        <v>1</v>
      </c>
    </row>
    <row r="7346" spans="9:10" x14ac:dyDescent="0.3">
      <c r="I7346" s="72">
        <v>3672</v>
      </c>
      <c r="J7346" s="70">
        <v>1</v>
      </c>
    </row>
    <row r="7347" spans="9:10" x14ac:dyDescent="0.3">
      <c r="I7347" s="72">
        <v>3672.5</v>
      </c>
      <c r="J7347" s="70">
        <v>1</v>
      </c>
    </row>
    <row r="7348" spans="9:10" x14ac:dyDescent="0.3">
      <c r="I7348" s="72">
        <v>3673</v>
      </c>
      <c r="J7348" s="70">
        <v>1</v>
      </c>
    </row>
    <row r="7349" spans="9:10" x14ac:dyDescent="0.3">
      <c r="I7349" s="72">
        <v>3673.5</v>
      </c>
      <c r="J7349" s="70">
        <v>1</v>
      </c>
    </row>
    <row r="7350" spans="9:10" x14ac:dyDescent="0.3">
      <c r="I7350" s="72">
        <v>3674</v>
      </c>
      <c r="J7350" s="70">
        <v>1</v>
      </c>
    </row>
    <row r="7351" spans="9:10" x14ac:dyDescent="0.3">
      <c r="I7351" s="72">
        <v>3674.5</v>
      </c>
      <c r="J7351" s="70">
        <v>1</v>
      </c>
    </row>
    <row r="7352" spans="9:10" x14ac:dyDescent="0.3">
      <c r="I7352" s="72">
        <v>3675</v>
      </c>
      <c r="J7352" s="70">
        <v>1</v>
      </c>
    </row>
    <row r="7353" spans="9:10" x14ac:dyDescent="0.3">
      <c r="I7353" s="72">
        <v>3675.5</v>
      </c>
      <c r="J7353" s="70">
        <v>1</v>
      </c>
    </row>
    <row r="7354" spans="9:10" x14ac:dyDescent="0.3">
      <c r="I7354" s="72">
        <v>3676</v>
      </c>
      <c r="J7354" s="70">
        <v>1</v>
      </c>
    </row>
    <row r="7355" spans="9:10" x14ac:dyDescent="0.3">
      <c r="I7355" s="72">
        <v>3676.5</v>
      </c>
      <c r="J7355" s="70">
        <v>1</v>
      </c>
    </row>
    <row r="7356" spans="9:10" x14ac:dyDescent="0.3">
      <c r="I7356" s="72">
        <v>3677</v>
      </c>
      <c r="J7356" s="70">
        <v>1</v>
      </c>
    </row>
    <row r="7357" spans="9:10" x14ac:dyDescent="0.3">
      <c r="I7357" s="72">
        <v>3677.5</v>
      </c>
      <c r="J7357" s="70">
        <v>1</v>
      </c>
    </row>
    <row r="7358" spans="9:10" x14ac:dyDescent="0.3">
      <c r="I7358" s="72">
        <v>3678</v>
      </c>
      <c r="J7358" s="70">
        <v>1</v>
      </c>
    </row>
    <row r="7359" spans="9:10" x14ac:dyDescent="0.3">
      <c r="I7359" s="72">
        <v>3678.5</v>
      </c>
      <c r="J7359" s="70">
        <v>1</v>
      </c>
    </row>
    <row r="7360" spans="9:10" x14ac:dyDescent="0.3">
      <c r="I7360" s="72">
        <v>3679</v>
      </c>
      <c r="J7360" s="70">
        <v>1</v>
      </c>
    </row>
    <row r="7361" spans="9:10" x14ac:dyDescent="0.3">
      <c r="I7361" s="72">
        <v>3679.5</v>
      </c>
      <c r="J7361" s="70">
        <v>1</v>
      </c>
    </row>
    <row r="7362" spans="9:10" x14ac:dyDescent="0.3">
      <c r="I7362" s="72">
        <v>3680</v>
      </c>
      <c r="J7362" s="70">
        <v>1</v>
      </c>
    </row>
    <row r="7363" spans="9:10" x14ac:dyDescent="0.3">
      <c r="I7363" s="72">
        <v>3680.5</v>
      </c>
      <c r="J7363" s="70">
        <v>1</v>
      </c>
    </row>
    <row r="7364" spans="9:10" x14ac:dyDescent="0.3">
      <c r="I7364" s="72">
        <v>3681</v>
      </c>
      <c r="J7364" s="70">
        <v>1</v>
      </c>
    </row>
    <row r="7365" spans="9:10" x14ac:dyDescent="0.3">
      <c r="I7365" s="72">
        <v>3681.5</v>
      </c>
      <c r="J7365" s="70">
        <v>1</v>
      </c>
    </row>
    <row r="7366" spans="9:10" x14ac:dyDescent="0.3">
      <c r="I7366" s="72">
        <v>3682</v>
      </c>
      <c r="J7366" s="70">
        <v>1</v>
      </c>
    </row>
    <row r="7367" spans="9:10" x14ac:dyDescent="0.3">
      <c r="I7367" s="72">
        <v>3682.5</v>
      </c>
      <c r="J7367" s="70">
        <v>1</v>
      </c>
    </row>
    <row r="7368" spans="9:10" x14ac:dyDescent="0.3">
      <c r="I7368" s="72">
        <v>3683</v>
      </c>
      <c r="J7368" s="70">
        <v>1</v>
      </c>
    </row>
    <row r="7369" spans="9:10" x14ac:dyDescent="0.3">
      <c r="I7369" s="72">
        <v>3683.5</v>
      </c>
      <c r="J7369" s="70">
        <v>1</v>
      </c>
    </row>
    <row r="7370" spans="9:10" x14ac:dyDescent="0.3">
      <c r="I7370" s="72">
        <v>3684</v>
      </c>
      <c r="J7370" s="70">
        <v>1</v>
      </c>
    </row>
    <row r="7371" spans="9:10" x14ac:dyDescent="0.3">
      <c r="I7371" s="72">
        <v>3684.5</v>
      </c>
      <c r="J7371" s="70">
        <v>1</v>
      </c>
    </row>
    <row r="7372" spans="9:10" x14ac:dyDescent="0.3">
      <c r="I7372" s="72">
        <v>3685</v>
      </c>
      <c r="J7372" s="70">
        <v>1</v>
      </c>
    </row>
    <row r="7373" spans="9:10" x14ac:dyDescent="0.3">
      <c r="I7373" s="72">
        <v>3685.5</v>
      </c>
      <c r="J7373" s="70">
        <v>1</v>
      </c>
    </row>
    <row r="7374" spans="9:10" x14ac:dyDescent="0.3">
      <c r="I7374" s="72">
        <v>3686</v>
      </c>
      <c r="J7374" s="70">
        <v>1</v>
      </c>
    </row>
    <row r="7375" spans="9:10" x14ac:dyDescent="0.3">
      <c r="I7375" s="72">
        <v>3686.5</v>
      </c>
      <c r="J7375" s="70">
        <v>1</v>
      </c>
    </row>
    <row r="7376" spans="9:10" x14ac:dyDescent="0.3">
      <c r="I7376" s="72">
        <v>3687</v>
      </c>
      <c r="J7376" s="70">
        <v>1</v>
      </c>
    </row>
    <row r="7377" spans="9:10" x14ac:dyDescent="0.3">
      <c r="I7377" s="72">
        <v>3687.5</v>
      </c>
      <c r="J7377" s="70">
        <v>1</v>
      </c>
    </row>
    <row r="7378" spans="9:10" x14ac:dyDescent="0.3">
      <c r="I7378" s="72">
        <v>3688</v>
      </c>
      <c r="J7378" s="70">
        <v>1</v>
      </c>
    </row>
    <row r="7379" spans="9:10" x14ac:dyDescent="0.3">
      <c r="I7379" s="72">
        <v>3688.5</v>
      </c>
      <c r="J7379" s="70">
        <v>1</v>
      </c>
    </row>
    <row r="7380" spans="9:10" x14ac:dyDescent="0.3">
      <c r="I7380" s="72">
        <v>3689</v>
      </c>
      <c r="J7380" s="70">
        <v>1</v>
      </c>
    </row>
    <row r="7381" spans="9:10" x14ac:dyDescent="0.3">
      <c r="I7381" s="72">
        <v>3689.5</v>
      </c>
      <c r="J7381" s="70">
        <v>1</v>
      </c>
    </row>
    <row r="7382" spans="9:10" x14ac:dyDescent="0.3">
      <c r="I7382" s="72">
        <v>3690</v>
      </c>
      <c r="J7382" s="70">
        <v>1</v>
      </c>
    </row>
    <row r="7383" spans="9:10" x14ac:dyDescent="0.3">
      <c r="I7383" s="72">
        <v>3690.5</v>
      </c>
      <c r="J7383" s="70">
        <v>1</v>
      </c>
    </row>
    <row r="7384" spans="9:10" x14ac:dyDescent="0.3">
      <c r="I7384" s="72">
        <v>3691</v>
      </c>
      <c r="J7384" s="70">
        <v>1</v>
      </c>
    </row>
    <row r="7385" spans="9:10" x14ac:dyDescent="0.3">
      <c r="I7385" s="72">
        <v>3691.5</v>
      </c>
      <c r="J7385" s="70">
        <v>1</v>
      </c>
    </row>
    <row r="7386" spans="9:10" x14ac:dyDescent="0.3">
      <c r="I7386" s="72">
        <v>3692</v>
      </c>
      <c r="J7386" s="70">
        <v>1</v>
      </c>
    </row>
    <row r="7387" spans="9:10" x14ac:dyDescent="0.3">
      <c r="I7387" s="72">
        <v>3692.5</v>
      </c>
      <c r="J7387" s="70">
        <v>1</v>
      </c>
    </row>
    <row r="7388" spans="9:10" x14ac:dyDescent="0.3">
      <c r="I7388" s="72">
        <v>3693</v>
      </c>
      <c r="J7388" s="70">
        <v>1</v>
      </c>
    </row>
    <row r="7389" spans="9:10" x14ac:dyDescent="0.3">
      <c r="I7389" s="72">
        <v>3693.5</v>
      </c>
      <c r="J7389" s="70">
        <v>1</v>
      </c>
    </row>
    <row r="7390" spans="9:10" x14ac:dyDescent="0.3">
      <c r="I7390" s="72">
        <v>3694</v>
      </c>
      <c r="J7390" s="70">
        <v>1</v>
      </c>
    </row>
    <row r="7391" spans="9:10" x14ac:dyDescent="0.3">
      <c r="I7391" s="72">
        <v>3694.5</v>
      </c>
      <c r="J7391" s="70">
        <v>1</v>
      </c>
    </row>
    <row r="7392" spans="9:10" x14ac:dyDescent="0.3">
      <c r="I7392" s="72">
        <v>3695</v>
      </c>
      <c r="J7392" s="70">
        <v>1</v>
      </c>
    </row>
    <row r="7393" spans="9:10" x14ac:dyDescent="0.3">
      <c r="I7393" s="72">
        <v>3695.5</v>
      </c>
      <c r="J7393" s="70">
        <v>1</v>
      </c>
    </row>
    <row r="7394" spans="9:10" x14ac:dyDescent="0.3">
      <c r="I7394" s="72">
        <v>3696</v>
      </c>
      <c r="J7394" s="70">
        <v>1</v>
      </c>
    </row>
    <row r="7395" spans="9:10" x14ac:dyDescent="0.3">
      <c r="I7395" s="72">
        <v>3696.5</v>
      </c>
      <c r="J7395" s="70">
        <v>1</v>
      </c>
    </row>
    <row r="7396" spans="9:10" x14ac:dyDescent="0.3">
      <c r="I7396" s="72">
        <v>3697</v>
      </c>
      <c r="J7396" s="70">
        <v>1</v>
      </c>
    </row>
    <row r="7397" spans="9:10" x14ac:dyDescent="0.3">
      <c r="I7397" s="72">
        <v>3697.5</v>
      </c>
      <c r="J7397" s="70">
        <v>1</v>
      </c>
    </row>
    <row r="7398" spans="9:10" x14ac:dyDescent="0.3">
      <c r="I7398" s="72">
        <v>3698</v>
      </c>
      <c r="J7398" s="70">
        <v>1</v>
      </c>
    </row>
    <row r="7399" spans="9:10" x14ac:dyDescent="0.3">
      <c r="I7399" s="72">
        <v>3698.5</v>
      </c>
      <c r="J7399" s="70">
        <v>1</v>
      </c>
    </row>
    <row r="7400" spans="9:10" x14ac:dyDescent="0.3">
      <c r="I7400" s="72">
        <v>3699</v>
      </c>
      <c r="J7400" s="70">
        <v>1</v>
      </c>
    </row>
    <row r="7401" spans="9:10" x14ac:dyDescent="0.3">
      <c r="I7401" s="72">
        <v>3699.5</v>
      </c>
      <c r="J7401" s="70">
        <v>1</v>
      </c>
    </row>
    <row r="7402" spans="9:10" x14ac:dyDescent="0.3">
      <c r="I7402" s="72">
        <v>3700</v>
      </c>
      <c r="J7402" s="70">
        <v>1</v>
      </c>
    </row>
    <row r="7403" spans="9:10" x14ac:dyDescent="0.3">
      <c r="I7403" s="72">
        <v>3700.5</v>
      </c>
      <c r="J7403" s="70">
        <v>1</v>
      </c>
    </row>
    <row r="7404" spans="9:10" x14ac:dyDescent="0.3">
      <c r="I7404" s="72">
        <v>3701</v>
      </c>
      <c r="J7404" s="70">
        <v>1</v>
      </c>
    </row>
    <row r="7405" spans="9:10" x14ac:dyDescent="0.3">
      <c r="I7405" s="72">
        <v>3701.5</v>
      </c>
      <c r="J7405" s="70">
        <v>1</v>
      </c>
    </row>
    <row r="7406" spans="9:10" x14ac:dyDescent="0.3">
      <c r="I7406" s="72">
        <v>3702</v>
      </c>
      <c r="J7406" s="70">
        <v>1</v>
      </c>
    </row>
    <row r="7407" spans="9:10" x14ac:dyDescent="0.3">
      <c r="I7407" s="72">
        <v>3702.5</v>
      </c>
      <c r="J7407" s="70">
        <v>1</v>
      </c>
    </row>
    <row r="7408" spans="9:10" x14ac:dyDescent="0.3">
      <c r="I7408" s="72">
        <v>3703</v>
      </c>
      <c r="J7408" s="70">
        <v>1</v>
      </c>
    </row>
    <row r="7409" spans="9:10" x14ac:dyDescent="0.3">
      <c r="I7409" s="72">
        <v>3703.5</v>
      </c>
      <c r="J7409" s="70">
        <v>1</v>
      </c>
    </row>
    <row r="7410" spans="9:10" x14ac:dyDescent="0.3">
      <c r="I7410" s="72">
        <v>3704</v>
      </c>
      <c r="J7410" s="70">
        <v>1</v>
      </c>
    </row>
    <row r="7411" spans="9:10" x14ac:dyDescent="0.3">
      <c r="I7411" s="72">
        <v>3704.5</v>
      </c>
      <c r="J7411" s="70">
        <v>1</v>
      </c>
    </row>
    <row r="7412" spans="9:10" x14ac:dyDescent="0.3">
      <c r="I7412" s="72">
        <v>3705</v>
      </c>
      <c r="J7412" s="70">
        <v>1</v>
      </c>
    </row>
    <row r="7413" spans="9:10" x14ac:dyDescent="0.3">
      <c r="I7413" s="72">
        <v>3705.5</v>
      </c>
      <c r="J7413" s="70">
        <v>1</v>
      </c>
    </row>
    <row r="7414" spans="9:10" x14ac:dyDescent="0.3">
      <c r="I7414" s="72">
        <v>3706</v>
      </c>
      <c r="J7414" s="70">
        <v>1</v>
      </c>
    </row>
    <row r="7415" spans="9:10" x14ac:dyDescent="0.3">
      <c r="I7415" s="72">
        <v>3706.5</v>
      </c>
      <c r="J7415" s="70">
        <v>1</v>
      </c>
    </row>
    <row r="7416" spans="9:10" x14ac:dyDescent="0.3">
      <c r="I7416" s="72">
        <v>3707</v>
      </c>
      <c r="J7416" s="70">
        <v>1</v>
      </c>
    </row>
    <row r="7417" spans="9:10" x14ac:dyDescent="0.3">
      <c r="I7417" s="72">
        <v>3707.5</v>
      </c>
      <c r="J7417" s="70">
        <v>1</v>
      </c>
    </row>
    <row r="7418" spans="9:10" x14ac:dyDescent="0.3">
      <c r="I7418" s="72">
        <v>3708</v>
      </c>
      <c r="J7418" s="70">
        <v>1</v>
      </c>
    </row>
    <row r="7419" spans="9:10" x14ac:dyDescent="0.3">
      <c r="I7419" s="72">
        <v>3708.5</v>
      </c>
      <c r="J7419" s="70">
        <v>1</v>
      </c>
    </row>
    <row r="7420" spans="9:10" x14ac:dyDescent="0.3">
      <c r="I7420" s="72">
        <v>3709</v>
      </c>
      <c r="J7420" s="70">
        <v>1</v>
      </c>
    </row>
    <row r="7421" spans="9:10" x14ac:dyDescent="0.3">
      <c r="I7421" s="72">
        <v>3709.5</v>
      </c>
      <c r="J7421" s="70">
        <v>1</v>
      </c>
    </row>
    <row r="7422" spans="9:10" x14ac:dyDescent="0.3">
      <c r="I7422" s="72">
        <v>3710</v>
      </c>
      <c r="J7422" s="70">
        <v>1</v>
      </c>
    </row>
    <row r="7423" spans="9:10" x14ac:dyDescent="0.3">
      <c r="I7423" s="72">
        <v>3710.5</v>
      </c>
      <c r="J7423" s="70">
        <v>1</v>
      </c>
    </row>
    <row r="7424" spans="9:10" x14ac:dyDescent="0.3">
      <c r="I7424" s="72">
        <v>3711</v>
      </c>
      <c r="J7424" s="70">
        <v>1</v>
      </c>
    </row>
    <row r="7425" spans="9:10" x14ac:dyDescent="0.3">
      <c r="I7425" s="72">
        <v>3711.5</v>
      </c>
      <c r="J7425" s="70">
        <v>1</v>
      </c>
    </row>
    <row r="7426" spans="9:10" x14ac:dyDescent="0.3">
      <c r="I7426" s="72">
        <v>3712</v>
      </c>
      <c r="J7426" s="70">
        <v>1</v>
      </c>
    </row>
    <row r="7427" spans="9:10" x14ac:dyDescent="0.3">
      <c r="I7427" s="72">
        <v>3712.5</v>
      </c>
      <c r="J7427" s="70">
        <v>1</v>
      </c>
    </row>
    <row r="7428" spans="9:10" x14ac:dyDescent="0.3">
      <c r="I7428" s="72">
        <v>3713</v>
      </c>
      <c r="J7428" s="70">
        <v>1</v>
      </c>
    </row>
    <row r="7429" spans="9:10" x14ac:dyDescent="0.3">
      <c r="I7429" s="72">
        <v>3713.5</v>
      </c>
      <c r="J7429" s="70">
        <v>1</v>
      </c>
    </row>
    <row r="7430" spans="9:10" x14ac:dyDescent="0.3">
      <c r="I7430" s="72">
        <v>3714</v>
      </c>
      <c r="J7430" s="70">
        <v>1</v>
      </c>
    </row>
    <row r="7431" spans="9:10" x14ac:dyDescent="0.3">
      <c r="I7431" s="72">
        <v>3714.5</v>
      </c>
      <c r="J7431" s="70">
        <v>1</v>
      </c>
    </row>
    <row r="7432" spans="9:10" x14ac:dyDescent="0.3">
      <c r="I7432" s="72">
        <v>3715</v>
      </c>
      <c r="J7432" s="70">
        <v>1</v>
      </c>
    </row>
    <row r="7433" spans="9:10" x14ac:dyDescent="0.3">
      <c r="I7433" s="72">
        <v>3715.5</v>
      </c>
      <c r="J7433" s="70">
        <v>1</v>
      </c>
    </row>
    <row r="7434" spans="9:10" x14ac:dyDescent="0.3">
      <c r="I7434" s="72">
        <v>3716</v>
      </c>
      <c r="J7434" s="70">
        <v>1</v>
      </c>
    </row>
    <row r="7435" spans="9:10" x14ac:dyDescent="0.3">
      <c r="I7435" s="72">
        <v>3716.5</v>
      </c>
      <c r="J7435" s="70">
        <v>1</v>
      </c>
    </row>
    <row r="7436" spans="9:10" x14ac:dyDescent="0.3">
      <c r="I7436" s="72">
        <v>3717</v>
      </c>
      <c r="J7436" s="70">
        <v>1</v>
      </c>
    </row>
    <row r="7437" spans="9:10" x14ac:dyDescent="0.3">
      <c r="I7437" s="72">
        <v>3717.5</v>
      </c>
      <c r="J7437" s="70">
        <v>1</v>
      </c>
    </row>
    <row r="7438" spans="9:10" x14ac:dyDescent="0.3">
      <c r="I7438" s="72">
        <v>3718</v>
      </c>
      <c r="J7438" s="70">
        <v>1</v>
      </c>
    </row>
    <row r="7439" spans="9:10" x14ac:dyDescent="0.3">
      <c r="I7439" s="72">
        <v>3718.5</v>
      </c>
      <c r="J7439" s="70">
        <v>1</v>
      </c>
    </row>
    <row r="7440" spans="9:10" x14ac:dyDescent="0.3">
      <c r="I7440" s="72">
        <v>3719</v>
      </c>
      <c r="J7440" s="70">
        <v>1</v>
      </c>
    </row>
    <row r="7441" spans="9:10" x14ac:dyDescent="0.3">
      <c r="I7441" s="72">
        <v>3719.5</v>
      </c>
      <c r="J7441" s="70">
        <v>1</v>
      </c>
    </row>
    <row r="7442" spans="9:10" x14ac:dyDescent="0.3">
      <c r="I7442" s="72">
        <v>3720</v>
      </c>
      <c r="J7442" s="70">
        <v>1</v>
      </c>
    </row>
    <row r="7443" spans="9:10" x14ac:dyDescent="0.3">
      <c r="I7443" s="72">
        <v>3720.5</v>
      </c>
      <c r="J7443" s="70">
        <v>1</v>
      </c>
    </row>
    <row r="7444" spans="9:10" x14ac:dyDescent="0.3">
      <c r="I7444" s="72">
        <v>3721</v>
      </c>
      <c r="J7444" s="70">
        <v>1</v>
      </c>
    </row>
    <row r="7445" spans="9:10" x14ac:dyDescent="0.3">
      <c r="I7445" s="72">
        <v>3721.5</v>
      </c>
      <c r="J7445" s="70">
        <v>1</v>
      </c>
    </row>
    <row r="7446" spans="9:10" x14ac:dyDescent="0.3">
      <c r="I7446" s="72">
        <v>3722</v>
      </c>
      <c r="J7446" s="70">
        <v>1</v>
      </c>
    </row>
    <row r="7447" spans="9:10" x14ac:dyDescent="0.3">
      <c r="I7447" s="72">
        <v>3722.5</v>
      </c>
      <c r="J7447" s="70">
        <v>1</v>
      </c>
    </row>
    <row r="7448" spans="9:10" x14ac:dyDescent="0.3">
      <c r="I7448" s="72">
        <v>3723</v>
      </c>
      <c r="J7448" s="70">
        <v>1</v>
      </c>
    </row>
    <row r="7449" spans="9:10" x14ac:dyDescent="0.3">
      <c r="I7449" s="72">
        <v>3723.5</v>
      </c>
      <c r="J7449" s="70">
        <v>1</v>
      </c>
    </row>
    <row r="7450" spans="9:10" x14ac:dyDescent="0.3">
      <c r="I7450" s="72">
        <v>3724</v>
      </c>
      <c r="J7450" s="70">
        <v>1</v>
      </c>
    </row>
    <row r="7451" spans="9:10" x14ac:dyDescent="0.3">
      <c r="I7451" s="72">
        <v>3724.5</v>
      </c>
      <c r="J7451" s="70">
        <v>1</v>
      </c>
    </row>
    <row r="7452" spans="9:10" x14ac:dyDescent="0.3">
      <c r="I7452" s="72">
        <v>3725</v>
      </c>
      <c r="J7452" s="70">
        <v>1</v>
      </c>
    </row>
    <row r="7453" spans="9:10" x14ac:dyDescent="0.3">
      <c r="I7453" s="72">
        <v>3725.5</v>
      </c>
      <c r="J7453" s="70">
        <v>1</v>
      </c>
    </row>
    <row r="7454" spans="9:10" x14ac:dyDescent="0.3">
      <c r="I7454" s="72">
        <v>3726</v>
      </c>
      <c r="J7454" s="70">
        <v>1</v>
      </c>
    </row>
    <row r="7455" spans="9:10" x14ac:dyDescent="0.3">
      <c r="I7455" s="72">
        <v>3726.5</v>
      </c>
      <c r="J7455" s="70">
        <v>1</v>
      </c>
    </row>
    <row r="7456" spans="9:10" x14ac:dyDescent="0.3">
      <c r="I7456" s="72">
        <v>3727</v>
      </c>
      <c r="J7456" s="70">
        <v>1</v>
      </c>
    </row>
    <row r="7457" spans="9:10" x14ac:dyDescent="0.3">
      <c r="I7457" s="72">
        <v>3727.5</v>
      </c>
      <c r="J7457" s="70">
        <v>1</v>
      </c>
    </row>
    <row r="7458" spans="9:10" x14ac:dyDescent="0.3">
      <c r="I7458" s="72">
        <v>3728</v>
      </c>
      <c r="J7458" s="70">
        <v>1</v>
      </c>
    </row>
    <row r="7459" spans="9:10" x14ac:dyDescent="0.3">
      <c r="I7459" s="72">
        <v>3728.5</v>
      </c>
      <c r="J7459" s="70">
        <v>1</v>
      </c>
    </row>
    <row r="7460" spans="9:10" x14ac:dyDescent="0.3">
      <c r="I7460" s="72">
        <v>3729</v>
      </c>
      <c r="J7460" s="70">
        <v>1</v>
      </c>
    </row>
    <row r="7461" spans="9:10" x14ac:dyDescent="0.3">
      <c r="I7461" s="72">
        <v>3729.5</v>
      </c>
      <c r="J7461" s="70">
        <v>1</v>
      </c>
    </row>
    <row r="7462" spans="9:10" x14ac:dyDescent="0.3">
      <c r="I7462" s="72">
        <v>3730</v>
      </c>
      <c r="J7462" s="70">
        <v>1</v>
      </c>
    </row>
    <row r="7463" spans="9:10" x14ac:dyDescent="0.3">
      <c r="I7463" s="72">
        <v>3730.5</v>
      </c>
      <c r="J7463" s="70">
        <v>1</v>
      </c>
    </row>
    <row r="7464" spans="9:10" x14ac:dyDescent="0.3">
      <c r="I7464" s="72">
        <v>3731</v>
      </c>
      <c r="J7464" s="70">
        <v>1</v>
      </c>
    </row>
    <row r="7465" spans="9:10" x14ac:dyDescent="0.3">
      <c r="I7465" s="72">
        <v>3731.5</v>
      </c>
      <c r="J7465" s="70">
        <v>1</v>
      </c>
    </row>
    <row r="7466" spans="9:10" x14ac:dyDescent="0.3">
      <c r="I7466" s="72">
        <v>3732</v>
      </c>
      <c r="J7466" s="70">
        <v>1</v>
      </c>
    </row>
    <row r="7467" spans="9:10" x14ac:dyDescent="0.3">
      <c r="I7467" s="72">
        <v>3732.5</v>
      </c>
      <c r="J7467" s="70">
        <v>1</v>
      </c>
    </row>
    <row r="7468" spans="9:10" x14ac:dyDescent="0.3">
      <c r="I7468" s="72">
        <v>3733</v>
      </c>
      <c r="J7468" s="70">
        <v>1</v>
      </c>
    </row>
    <row r="7469" spans="9:10" x14ac:dyDescent="0.3">
      <c r="I7469" s="72">
        <v>3733.5</v>
      </c>
      <c r="J7469" s="70">
        <v>1</v>
      </c>
    </row>
    <row r="7470" spans="9:10" x14ac:dyDescent="0.3">
      <c r="I7470" s="72">
        <v>3734</v>
      </c>
      <c r="J7470" s="70">
        <v>1</v>
      </c>
    </row>
    <row r="7471" spans="9:10" x14ac:dyDescent="0.3">
      <c r="I7471" s="72">
        <v>3734.5</v>
      </c>
      <c r="J7471" s="70">
        <v>1</v>
      </c>
    </row>
    <row r="7472" spans="9:10" x14ac:dyDescent="0.3">
      <c r="I7472" s="72">
        <v>3735</v>
      </c>
      <c r="J7472" s="70">
        <v>1</v>
      </c>
    </row>
    <row r="7473" spans="9:10" x14ac:dyDescent="0.3">
      <c r="I7473" s="72">
        <v>3735.5</v>
      </c>
      <c r="J7473" s="70">
        <v>1</v>
      </c>
    </row>
    <row r="7474" spans="9:10" x14ac:dyDescent="0.3">
      <c r="I7474" s="72">
        <v>3736</v>
      </c>
      <c r="J7474" s="70">
        <v>1</v>
      </c>
    </row>
    <row r="7475" spans="9:10" x14ac:dyDescent="0.3">
      <c r="I7475" s="72">
        <v>3736.5</v>
      </c>
      <c r="J7475" s="70">
        <v>1</v>
      </c>
    </row>
    <row r="7476" spans="9:10" x14ac:dyDescent="0.3">
      <c r="I7476" s="72">
        <v>3737</v>
      </c>
      <c r="J7476" s="70">
        <v>1</v>
      </c>
    </row>
    <row r="7477" spans="9:10" x14ac:dyDescent="0.3">
      <c r="I7477" s="72">
        <v>3737.5</v>
      </c>
      <c r="J7477" s="70">
        <v>1</v>
      </c>
    </row>
    <row r="7478" spans="9:10" x14ac:dyDescent="0.3">
      <c r="I7478" s="72">
        <v>3738</v>
      </c>
      <c r="J7478" s="70">
        <v>1</v>
      </c>
    </row>
    <row r="7479" spans="9:10" x14ac:dyDescent="0.3">
      <c r="I7479" s="72">
        <v>3738.5</v>
      </c>
      <c r="J7479" s="70">
        <v>1</v>
      </c>
    </row>
    <row r="7480" spans="9:10" x14ac:dyDescent="0.3">
      <c r="I7480" s="72">
        <v>3739</v>
      </c>
      <c r="J7480" s="70">
        <v>1</v>
      </c>
    </row>
    <row r="7481" spans="9:10" x14ac:dyDescent="0.3">
      <c r="I7481" s="72">
        <v>3739.5</v>
      </c>
      <c r="J7481" s="70">
        <v>1</v>
      </c>
    </row>
    <row r="7482" spans="9:10" x14ac:dyDescent="0.3">
      <c r="I7482" s="72">
        <v>3740</v>
      </c>
      <c r="J7482" s="70">
        <v>1</v>
      </c>
    </row>
    <row r="7483" spans="9:10" x14ac:dyDescent="0.3">
      <c r="I7483" s="72">
        <v>3740.5</v>
      </c>
      <c r="J7483" s="70">
        <v>1</v>
      </c>
    </row>
    <row r="7484" spans="9:10" x14ac:dyDescent="0.3">
      <c r="I7484" s="72">
        <v>3741</v>
      </c>
      <c r="J7484" s="70">
        <v>1</v>
      </c>
    </row>
    <row r="7485" spans="9:10" x14ac:dyDescent="0.3">
      <c r="I7485" s="72">
        <v>3741.5</v>
      </c>
      <c r="J7485" s="70">
        <v>1</v>
      </c>
    </row>
    <row r="7486" spans="9:10" x14ac:dyDescent="0.3">
      <c r="I7486" s="72">
        <v>3742</v>
      </c>
      <c r="J7486" s="70">
        <v>1</v>
      </c>
    </row>
    <row r="7487" spans="9:10" x14ac:dyDescent="0.3">
      <c r="I7487" s="72">
        <v>3742.5</v>
      </c>
      <c r="J7487" s="70">
        <v>1</v>
      </c>
    </row>
    <row r="7488" spans="9:10" x14ac:dyDescent="0.3">
      <c r="I7488" s="72">
        <v>3743</v>
      </c>
      <c r="J7488" s="70">
        <v>1</v>
      </c>
    </row>
    <row r="7489" spans="9:10" x14ac:dyDescent="0.3">
      <c r="I7489" s="72">
        <v>3743.5</v>
      </c>
      <c r="J7489" s="70">
        <v>1</v>
      </c>
    </row>
    <row r="7490" spans="9:10" x14ac:dyDescent="0.3">
      <c r="I7490" s="72">
        <v>3744</v>
      </c>
      <c r="J7490" s="70">
        <v>1</v>
      </c>
    </row>
    <row r="7491" spans="9:10" x14ac:dyDescent="0.3">
      <c r="I7491" s="72">
        <v>3744.5</v>
      </c>
      <c r="J7491" s="70">
        <v>1</v>
      </c>
    </row>
    <row r="7492" spans="9:10" x14ac:dyDescent="0.3">
      <c r="I7492" s="72">
        <v>3745</v>
      </c>
      <c r="J7492" s="70">
        <v>1</v>
      </c>
    </row>
    <row r="7493" spans="9:10" x14ac:dyDescent="0.3">
      <c r="I7493" s="72">
        <v>3745.5</v>
      </c>
      <c r="J7493" s="70">
        <v>1</v>
      </c>
    </row>
    <row r="7494" spans="9:10" x14ac:dyDescent="0.3">
      <c r="I7494" s="72">
        <v>3746</v>
      </c>
      <c r="J7494" s="70">
        <v>1</v>
      </c>
    </row>
    <row r="7495" spans="9:10" x14ac:dyDescent="0.3">
      <c r="I7495" s="72">
        <v>3746.5</v>
      </c>
      <c r="J7495" s="70">
        <v>1</v>
      </c>
    </row>
    <row r="7496" spans="9:10" x14ac:dyDescent="0.3">
      <c r="I7496" s="72">
        <v>3747</v>
      </c>
      <c r="J7496" s="70">
        <v>1</v>
      </c>
    </row>
    <row r="7497" spans="9:10" x14ac:dyDescent="0.3">
      <c r="I7497" s="72">
        <v>3747.5</v>
      </c>
      <c r="J7497" s="70">
        <v>1</v>
      </c>
    </row>
    <row r="7498" spans="9:10" x14ac:dyDescent="0.3">
      <c r="I7498" s="72">
        <v>3748</v>
      </c>
      <c r="J7498" s="70">
        <v>1</v>
      </c>
    </row>
    <row r="7499" spans="9:10" x14ac:dyDescent="0.3">
      <c r="I7499" s="72">
        <v>3748.5</v>
      </c>
      <c r="J7499" s="70">
        <v>1</v>
      </c>
    </row>
    <row r="7500" spans="9:10" x14ac:dyDescent="0.3">
      <c r="I7500" s="72">
        <v>3749</v>
      </c>
      <c r="J7500" s="70">
        <v>1</v>
      </c>
    </row>
    <row r="7501" spans="9:10" x14ac:dyDescent="0.3">
      <c r="I7501" s="72">
        <v>3749.5</v>
      </c>
      <c r="J7501" s="70">
        <v>1</v>
      </c>
    </row>
    <row r="7502" spans="9:10" x14ac:dyDescent="0.3">
      <c r="I7502" s="72">
        <v>3750</v>
      </c>
      <c r="J7502" s="70">
        <v>1</v>
      </c>
    </row>
    <row r="7503" spans="9:10" x14ac:dyDescent="0.3">
      <c r="I7503" s="72">
        <v>3750.5</v>
      </c>
      <c r="J7503" s="70">
        <v>1</v>
      </c>
    </row>
    <row r="7504" spans="9:10" x14ac:dyDescent="0.3">
      <c r="I7504" s="72">
        <v>3751</v>
      </c>
      <c r="J7504" s="70">
        <v>1</v>
      </c>
    </row>
    <row r="7505" spans="9:10" x14ac:dyDescent="0.3">
      <c r="I7505" s="72">
        <v>3751.5</v>
      </c>
      <c r="J7505" s="70">
        <v>1</v>
      </c>
    </row>
    <row r="7506" spans="9:10" x14ac:dyDescent="0.3">
      <c r="I7506" s="72">
        <v>3752</v>
      </c>
      <c r="J7506" s="70">
        <v>1</v>
      </c>
    </row>
    <row r="7507" spans="9:10" x14ac:dyDescent="0.3">
      <c r="I7507" s="72">
        <v>3752.5</v>
      </c>
      <c r="J7507" s="70">
        <v>1</v>
      </c>
    </row>
    <row r="7508" spans="9:10" x14ac:dyDescent="0.3">
      <c r="I7508" s="72">
        <v>3753</v>
      </c>
      <c r="J7508" s="70">
        <v>1</v>
      </c>
    </row>
    <row r="7509" spans="9:10" x14ac:dyDescent="0.3">
      <c r="I7509" s="72">
        <v>3753.5</v>
      </c>
      <c r="J7509" s="70">
        <v>1</v>
      </c>
    </row>
    <row r="7510" spans="9:10" x14ac:dyDescent="0.3">
      <c r="I7510" s="72">
        <v>3754</v>
      </c>
      <c r="J7510" s="70">
        <v>1</v>
      </c>
    </row>
    <row r="7511" spans="9:10" x14ac:dyDescent="0.3">
      <c r="I7511" s="72">
        <v>3754.5</v>
      </c>
      <c r="J7511" s="70">
        <v>1</v>
      </c>
    </row>
    <row r="7512" spans="9:10" x14ac:dyDescent="0.3">
      <c r="I7512" s="72">
        <v>3755</v>
      </c>
      <c r="J7512" s="70">
        <v>1</v>
      </c>
    </row>
    <row r="7513" spans="9:10" x14ac:dyDescent="0.3">
      <c r="I7513" s="72">
        <v>3755.5</v>
      </c>
      <c r="J7513" s="70">
        <v>1</v>
      </c>
    </row>
    <row r="7514" spans="9:10" x14ac:dyDescent="0.3">
      <c r="I7514" s="72">
        <v>3756</v>
      </c>
      <c r="J7514" s="70">
        <v>1</v>
      </c>
    </row>
    <row r="7515" spans="9:10" x14ac:dyDescent="0.3">
      <c r="I7515" s="72">
        <v>3756.5</v>
      </c>
      <c r="J7515" s="70">
        <v>1</v>
      </c>
    </row>
    <row r="7516" spans="9:10" x14ac:dyDescent="0.3">
      <c r="I7516" s="72">
        <v>3757</v>
      </c>
      <c r="J7516" s="70">
        <v>1</v>
      </c>
    </row>
    <row r="7517" spans="9:10" x14ac:dyDescent="0.3">
      <c r="I7517" s="72">
        <v>3757.5</v>
      </c>
      <c r="J7517" s="70">
        <v>1</v>
      </c>
    </row>
    <row r="7518" spans="9:10" x14ac:dyDescent="0.3">
      <c r="I7518" s="72">
        <v>3758</v>
      </c>
      <c r="J7518" s="70">
        <v>1</v>
      </c>
    </row>
    <row r="7519" spans="9:10" x14ac:dyDescent="0.3">
      <c r="I7519" s="72">
        <v>3758.5</v>
      </c>
      <c r="J7519" s="70">
        <v>1</v>
      </c>
    </row>
    <row r="7520" spans="9:10" x14ac:dyDescent="0.3">
      <c r="I7520" s="72">
        <v>3759</v>
      </c>
      <c r="J7520" s="70">
        <v>1</v>
      </c>
    </row>
    <row r="7521" spans="9:10" x14ac:dyDescent="0.3">
      <c r="I7521" s="72">
        <v>3759.5</v>
      </c>
      <c r="J7521" s="70">
        <v>1</v>
      </c>
    </row>
    <row r="7522" spans="9:10" x14ac:dyDescent="0.3">
      <c r="I7522" s="72">
        <v>3760</v>
      </c>
      <c r="J7522" s="70">
        <v>1</v>
      </c>
    </row>
    <row r="7523" spans="9:10" x14ac:dyDescent="0.3">
      <c r="I7523" s="72">
        <v>3760.5</v>
      </c>
      <c r="J7523" s="70">
        <v>1</v>
      </c>
    </row>
    <row r="7524" spans="9:10" x14ac:dyDescent="0.3">
      <c r="I7524" s="72">
        <v>3761</v>
      </c>
      <c r="J7524" s="70">
        <v>1</v>
      </c>
    </row>
    <row r="7525" spans="9:10" x14ac:dyDescent="0.3">
      <c r="I7525" s="72">
        <v>3761.5</v>
      </c>
      <c r="J7525" s="70">
        <v>1</v>
      </c>
    </row>
    <row r="7526" spans="9:10" x14ac:dyDescent="0.3">
      <c r="I7526" s="72">
        <v>3762</v>
      </c>
      <c r="J7526" s="70">
        <v>1</v>
      </c>
    </row>
    <row r="7527" spans="9:10" x14ac:dyDescent="0.3">
      <c r="I7527" s="72">
        <v>3762.5</v>
      </c>
      <c r="J7527" s="70">
        <v>1</v>
      </c>
    </row>
    <row r="7528" spans="9:10" x14ac:dyDescent="0.3">
      <c r="I7528" s="72">
        <v>3763</v>
      </c>
      <c r="J7528" s="70">
        <v>1</v>
      </c>
    </row>
    <row r="7529" spans="9:10" x14ac:dyDescent="0.3">
      <c r="I7529" s="72">
        <v>3763.5</v>
      </c>
      <c r="J7529" s="70">
        <v>1</v>
      </c>
    </row>
    <row r="7530" spans="9:10" x14ac:dyDescent="0.3">
      <c r="I7530" s="72">
        <v>3764</v>
      </c>
      <c r="J7530" s="70">
        <v>1</v>
      </c>
    </row>
    <row r="7531" spans="9:10" x14ac:dyDescent="0.3">
      <c r="I7531" s="72">
        <v>3764.5</v>
      </c>
      <c r="J7531" s="70">
        <v>1</v>
      </c>
    </row>
    <row r="7532" spans="9:10" x14ac:dyDescent="0.3">
      <c r="I7532" s="72">
        <v>3765</v>
      </c>
      <c r="J7532" s="70">
        <v>1</v>
      </c>
    </row>
    <row r="7533" spans="9:10" x14ac:dyDescent="0.3">
      <c r="I7533" s="72">
        <v>3765.5</v>
      </c>
      <c r="J7533" s="70">
        <v>1</v>
      </c>
    </row>
    <row r="7534" spans="9:10" x14ac:dyDescent="0.3">
      <c r="I7534" s="72">
        <v>3766</v>
      </c>
      <c r="J7534" s="70">
        <v>1</v>
      </c>
    </row>
    <row r="7535" spans="9:10" x14ac:dyDescent="0.3">
      <c r="I7535" s="72">
        <v>3766.5</v>
      </c>
      <c r="J7535" s="70">
        <v>1</v>
      </c>
    </row>
    <row r="7536" spans="9:10" x14ac:dyDescent="0.3">
      <c r="I7536" s="72">
        <v>3767</v>
      </c>
      <c r="J7536" s="70">
        <v>1</v>
      </c>
    </row>
    <row r="7537" spans="9:10" x14ac:dyDescent="0.3">
      <c r="I7537" s="72">
        <v>3767.5</v>
      </c>
      <c r="J7537" s="70">
        <v>1</v>
      </c>
    </row>
    <row r="7538" spans="9:10" x14ac:dyDescent="0.3">
      <c r="I7538" s="72">
        <v>3768</v>
      </c>
      <c r="J7538" s="70">
        <v>1</v>
      </c>
    </row>
    <row r="7539" spans="9:10" x14ac:dyDescent="0.3">
      <c r="I7539" s="72">
        <v>3768.5</v>
      </c>
      <c r="J7539" s="70">
        <v>1</v>
      </c>
    </row>
    <row r="7540" spans="9:10" x14ac:dyDescent="0.3">
      <c r="I7540" s="72">
        <v>3769</v>
      </c>
      <c r="J7540" s="70">
        <v>1</v>
      </c>
    </row>
    <row r="7541" spans="9:10" x14ac:dyDescent="0.3">
      <c r="I7541" s="72">
        <v>3769.5</v>
      </c>
      <c r="J7541" s="70">
        <v>1</v>
      </c>
    </row>
    <row r="7542" spans="9:10" x14ac:dyDescent="0.3">
      <c r="I7542" s="72">
        <v>3770</v>
      </c>
      <c r="J7542" s="70">
        <v>1</v>
      </c>
    </row>
    <row r="7543" spans="9:10" x14ac:dyDescent="0.3">
      <c r="I7543" s="72">
        <v>3770.5</v>
      </c>
      <c r="J7543" s="70">
        <v>1</v>
      </c>
    </row>
    <row r="7544" spans="9:10" x14ac:dyDescent="0.3">
      <c r="I7544" s="72">
        <v>3771</v>
      </c>
      <c r="J7544" s="70">
        <v>1</v>
      </c>
    </row>
    <row r="7545" spans="9:10" x14ac:dyDescent="0.3">
      <c r="I7545" s="72">
        <v>3771.5</v>
      </c>
      <c r="J7545" s="70">
        <v>1</v>
      </c>
    </row>
    <row r="7546" spans="9:10" x14ac:dyDescent="0.3">
      <c r="I7546" s="72">
        <v>3772</v>
      </c>
      <c r="J7546" s="70">
        <v>1</v>
      </c>
    </row>
    <row r="7547" spans="9:10" x14ac:dyDescent="0.3">
      <c r="I7547" s="72">
        <v>3772.5</v>
      </c>
      <c r="J7547" s="70">
        <v>1</v>
      </c>
    </row>
    <row r="7548" spans="9:10" x14ac:dyDescent="0.3">
      <c r="I7548" s="72">
        <v>3773</v>
      </c>
      <c r="J7548" s="70">
        <v>1</v>
      </c>
    </row>
    <row r="7549" spans="9:10" x14ac:dyDescent="0.3">
      <c r="I7549" s="72">
        <v>3773.5</v>
      </c>
      <c r="J7549" s="70">
        <v>1</v>
      </c>
    </row>
    <row r="7550" spans="9:10" x14ac:dyDescent="0.3">
      <c r="I7550" s="72">
        <v>3774</v>
      </c>
      <c r="J7550" s="70">
        <v>1</v>
      </c>
    </row>
    <row r="7551" spans="9:10" x14ac:dyDescent="0.3">
      <c r="I7551" s="72">
        <v>3774.5</v>
      </c>
      <c r="J7551" s="70">
        <v>1</v>
      </c>
    </row>
    <row r="7552" spans="9:10" x14ac:dyDescent="0.3">
      <c r="I7552" s="72">
        <v>3775</v>
      </c>
      <c r="J7552" s="70">
        <v>1</v>
      </c>
    </row>
    <row r="7553" spans="9:10" x14ac:dyDescent="0.3">
      <c r="I7553" s="72">
        <v>3775.5</v>
      </c>
      <c r="J7553" s="70">
        <v>1</v>
      </c>
    </row>
    <row r="7554" spans="9:10" x14ac:dyDescent="0.3">
      <c r="I7554" s="72">
        <v>3776</v>
      </c>
      <c r="J7554" s="70">
        <v>1</v>
      </c>
    </row>
    <row r="7555" spans="9:10" x14ac:dyDescent="0.3">
      <c r="I7555" s="72">
        <v>3776.5</v>
      </c>
      <c r="J7555" s="70">
        <v>1</v>
      </c>
    </row>
    <row r="7556" spans="9:10" x14ac:dyDescent="0.3">
      <c r="I7556" s="72">
        <v>3777</v>
      </c>
      <c r="J7556" s="70">
        <v>1</v>
      </c>
    </row>
    <row r="7557" spans="9:10" x14ac:dyDescent="0.3">
      <c r="I7557" s="72">
        <v>3777.5</v>
      </c>
      <c r="J7557" s="70">
        <v>1</v>
      </c>
    </row>
    <row r="7558" spans="9:10" x14ac:dyDescent="0.3">
      <c r="I7558" s="72">
        <v>3778</v>
      </c>
      <c r="J7558" s="70">
        <v>1</v>
      </c>
    </row>
    <row r="7559" spans="9:10" x14ac:dyDescent="0.3">
      <c r="I7559" s="72">
        <v>3778.5</v>
      </c>
      <c r="J7559" s="70">
        <v>1</v>
      </c>
    </row>
    <row r="7560" spans="9:10" x14ac:dyDescent="0.3">
      <c r="I7560" s="72">
        <v>3779</v>
      </c>
      <c r="J7560" s="70">
        <v>1</v>
      </c>
    </row>
    <row r="7561" spans="9:10" x14ac:dyDescent="0.3">
      <c r="I7561" s="72">
        <v>3779.5</v>
      </c>
      <c r="J7561" s="70">
        <v>1</v>
      </c>
    </row>
    <row r="7562" spans="9:10" x14ac:dyDescent="0.3">
      <c r="I7562" s="72">
        <v>3780</v>
      </c>
      <c r="J7562" s="70">
        <v>1</v>
      </c>
    </row>
    <row r="7563" spans="9:10" x14ac:dyDescent="0.3">
      <c r="I7563" s="72">
        <v>3780.5</v>
      </c>
      <c r="J7563" s="70">
        <v>1</v>
      </c>
    </row>
    <row r="7564" spans="9:10" x14ac:dyDescent="0.3">
      <c r="I7564" s="72">
        <v>3781</v>
      </c>
      <c r="J7564" s="70">
        <v>1</v>
      </c>
    </row>
    <row r="7565" spans="9:10" x14ac:dyDescent="0.3">
      <c r="I7565" s="72">
        <v>3781.5</v>
      </c>
      <c r="J7565" s="70">
        <v>1</v>
      </c>
    </row>
    <row r="7566" spans="9:10" x14ac:dyDescent="0.3">
      <c r="I7566" s="72">
        <v>3782</v>
      </c>
      <c r="J7566" s="70">
        <v>1</v>
      </c>
    </row>
    <row r="7567" spans="9:10" x14ac:dyDescent="0.3">
      <c r="I7567" s="72">
        <v>3782.5</v>
      </c>
      <c r="J7567" s="70">
        <v>1</v>
      </c>
    </row>
    <row r="7568" spans="9:10" x14ac:dyDescent="0.3">
      <c r="I7568" s="72">
        <v>3783</v>
      </c>
      <c r="J7568" s="70">
        <v>1</v>
      </c>
    </row>
    <row r="7569" spans="9:10" x14ac:dyDescent="0.3">
      <c r="I7569" s="72">
        <v>3783.5</v>
      </c>
      <c r="J7569" s="70">
        <v>1</v>
      </c>
    </row>
    <row r="7570" spans="9:10" x14ac:dyDescent="0.3">
      <c r="I7570" s="72">
        <v>3784</v>
      </c>
      <c r="J7570" s="70">
        <v>1</v>
      </c>
    </row>
    <row r="7571" spans="9:10" x14ac:dyDescent="0.3">
      <c r="I7571" s="72">
        <v>3784.5</v>
      </c>
      <c r="J7571" s="70">
        <v>1</v>
      </c>
    </row>
    <row r="7572" spans="9:10" x14ac:dyDescent="0.3">
      <c r="I7572" s="72">
        <v>3785</v>
      </c>
      <c r="J7572" s="70">
        <v>1</v>
      </c>
    </row>
    <row r="7573" spans="9:10" x14ac:dyDescent="0.3">
      <c r="I7573" s="72">
        <v>3785.5</v>
      </c>
      <c r="J7573" s="70">
        <v>1</v>
      </c>
    </row>
    <row r="7574" spans="9:10" x14ac:dyDescent="0.3">
      <c r="I7574" s="72">
        <v>3786</v>
      </c>
      <c r="J7574" s="70">
        <v>1</v>
      </c>
    </row>
    <row r="7575" spans="9:10" x14ac:dyDescent="0.3">
      <c r="I7575" s="72">
        <v>3786.5</v>
      </c>
      <c r="J7575" s="70">
        <v>1</v>
      </c>
    </row>
    <row r="7576" spans="9:10" x14ac:dyDescent="0.3">
      <c r="I7576" s="72">
        <v>3787</v>
      </c>
      <c r="J7576" s="70">
        <v>1</v>
      </c>
    </row>
    <row r="7577" spans="9:10" x14ac:dyDescent="0.3">
      <c r="I7577" s="72">
        <v>3787.5</v>
      </c>
      <c r="J7577" s="70">
        <v>1</v>
      </c>
    </row>
    <row r="7578" spans="9:10" x14ac:dyDescent="0.3">
      <c r="I7578" s="72">
        <v>3788</v>
      </c>
      <c r="J7578" s="70">
        <v>1</v>
      </c>
    </row>
    <row r="7579" spans="9:10" x14ac:dyDescent="0.3">
      <c r="I7579" s="72">
        <v>3788.5</v>
      </c>
      <c r="J7579" s="70">
        <v>1</v>
      </c>
    </row>
    <row r="7580" spans="9:10" x14ac:dyDescent="0.3">
      <c r="I7580" s="72">
        <v>3789</v>
      </c>
      <c r="J7580" s="70">
        <v>1</v>
      </c>
    </row>
    <row r="7581" spans="9:10" x14ac:dyDescent="0.3">
      <c r="I7581" s="72">
        <v>3789.5</v>
      </c>
      <c r="J7581" s="70">
        <v>1</v>
      </c>
    </row>
    <row r="7582" spans="9:10" x14ac:dyDescent="0.3">
      <c r="I7582" s="72">
        <v>3790</v>
      </c>
      <c r="J7582" s="70">
        <v>1</v>
      </c>
    </row>
    <row r="7583" spans="9:10" x14ac:dyDescent="0.3">
      <c r="I7583" s="72">
        <v>3790.5</v>
      </c>
      <c r="J7583" s="70">
        <v>1</v>
      </c>
    </row>
    <row r="7584" spans="9:10" x14ac:dyDescent="0.3">
      <c r="I7584" s="72">
        <v>3791</v>
      </c>
      <c r="J7584" s="70">
        <v>1</v>
      </c>
    </row>
    <row r="7585" spans="9:10" x14ac:dyDescent="0.3">
      <c r="I7585" s="72">
        <v>3791.5</v>
      </c>
      <c r="J7585" s="70">
        <v>1</v>
      </c>
    </row>
    <row r="7586" spans="9:10" x14ac:dyDescent="0.3">
      <c r="I7586" s="72">
        <v>3792</v>
      </c>
      <c r="J7586" s="70">
        <v>1</v>
      </c>
    </row>
    <row r="7587" spans="9:10" x14ac:dyDescent="0.3">
      <c r="I7587" s="72">
        <v>3792.5</v>
      </c>
      <c r="J7587" s="70">
        <v>1</v>
      </c>
    </row>
    <row r="7588" spans="9:10" x14ac:dyDescent="0.3">
      <c r="I7588" s="72">
        <v>3793</v>
      </c>
      <c r="J7588" s="70">
        <v>1</v>
      </c>
    </row>
    <row r="7589" spans="9:10" x14ac:dyDescent="0.3">
      <c r="I7589" s="72">
        <v>3793.5</v>
      </c>
      <c r="J7589" s="70">
        <v>1</v>
      </c>
    </row>
    <row r="7590" spans="9:10" x14ac:dyDescent="0.3">
      <c r="I7590" s="72">
        <v>3794</v>
      </c>
      <c r="J7590" s="70">
        <v>1</v>
      </c>
    </row>
    <row r="7591" spans="9:10" x14ac:dyDescent="0.3">
      <c r="I7591" s="72">
        <v>3794.5</v>
      </c>
      <c r="J7591" s="70">
        <v>1</v>
      </c>
    </row>
    <row r="7592" spans="9:10" x14ac:dyDescent="0.3">
      <c r="I7592" s="72">
        <v>3795</v>
      </c>
      <c r="J7592" s="70">
        <v>1</v>
      </c>
    </row>
    <row r="7593" spans="9:10" x14ac:dyDescent="0.3">
      <c r="I7593" s="72">
        <v>3795.5</v>
      </c>
      <c r="J7593" s="70">
        <v>1</v>
      </c>
    </row>
    <row r="7594" spans="9:10" x14ac:dyDescent="0.3">
      <c r="I7594" s="72">
        <v>3796</v>
      </c>
      <c r="J7594" s="70">
        <v>1</v>
      </c>
    </row>
    <row r="7595" spans="9:10" x14ac:dyDescent="0.3">
      <c r="I7595" s="72">
        <v>3796.5</v>
      </c>
      <c r="J7595" s="70">
        <v>1</v>
      </c>
    </row>
    <row r="7596" spans="9:10" x14ac:dyDescent="0.3">
      <c r="I7596" s="72">
        <v>3797</v>
      </c>
      <c r="J7596" s="70">
        <v>1</v>
      </c>
    </row>
    <row r="7597" spans="9:10" x14ac:dyDescent="0.3">
      <c r="I7597" s="72">
        <v>3797.5</v>
      </c>
      <c r="J7597" s="70">
        <v>1</v>
      </c>
    </row>
    <row r="7598" spans="9:10" x14ac:dyDescent="0.3">
      <c r="I7598" s="72">
        <v>3798</v>
      </c>
      <c r="J7598" s="70">
        <v>1</v>
      </c>
    </row>
    <row r="7599" spans="9:10" x14ac:dyDescent="0.3">
      <c r="I7599" s="72">
        <v>3798.5</v>
      </c>
      <c r="J7599" s="70">
        <v>1</v>
      </c>
    </row>
    <row r="7600" spans="9:10" x14ac:dyDescent="0.3">
      <c r="I7600" s="72">
        <v>3799</v>
      </c>
      <c r="J7600" s="70">
        <v>1</v>
      </c>
    </row>
    <row r="7601" spans="9:10" x14ac:dyDescent="0.3">
      <c r="I7601" s="72">
        <v>3799.5</v>
      </c>
      <c r="J7601" s="70">
        <v>1</v>
      </c>
    </row>
    <row r="7602" spans="9:10" x14ac:dyDescent="0.3">
      <c r="I7602" s="72">
        <v>3800</v>
      </c>
      <c r="J7602" s="70">
        <v>1</v>
      </c>
    </row>
    <row r="7603" spans="9:10" x14ac:dyDescent="0.3">
      <c r="I7603" s="72">
        <v>3800.5</v>
      </c>
      <c r="J7603" s="70">
        <v>1</v>
      </c>
    </row>
    <row r="7604" spans="9:10" x14ac:dyDescent="0.3">
      <c r="I7604" s="72">
        <v>3801</v>
      </c>
      <c r="J7604" s="70">
        <v>1</v>
      </c>
    </row>
    <row r="7605" spans="9:10" x14ac:dyDescent="0.3">
      <c r="I7605" s="72">
        <v>3801.5</v>
      </c>
      <c r="J7605" s="70">
        <v>1</v>
      </c>
    </row>
    <row r="7606" spans="9:10" x14ac:dyDescent="0.3">
      <c r="I7606" s="72">
        <v>3802</v>
      </c>
      <c r="J7606" s="70">
        <v>1</v>
      </c>
    </row>
    <row r="7607" spans="9:10" x14ac:dyDescent="0.3">
      <c r="I7607" s="72">
        <v>3802.5</v>
      </c>
      <c r="J7607" s="70">
        <v>1</v>
      </c>
    </row>
    <row r="7608" spans="9:10" x14ac:dyDescent="0.3">
      <c r="I7608" s="72">
        <v>3803</v>
      </c>
      <c r="J7608" s="70">
        <v>1</v>
      </c>
    </row>
    <row r="7609" spans="9:10" x14ac:dyDescent="0.3">
      <c r="I7609" s="72">
        <v>3803.5</v>
      </c>
      <c r="J7609" s="70">
        <v>1</v>
      </c>
    </row>
    <row r="7610" spans="9:10" x14ac:dyDescent="0.3">
      <c r="I7610" s="72">
        <v>3804</v>
      </c>
      <c r="J7610" s="70">
        <v>1</v>
      </c>
    </row>
    <row r="7611" spans="9:10" x14ac:dyDescent="0.3">
      <c r="I7611" s="72">
        <v>3804.5</v>
      </c>
      <c r="J7611" s="70">
        <v>1</v>
      </c>
    </row>
    <row r="7612" spans="9:10" x14ac:dyDescent="0.3">
      <c r="I7612" s="72">
        <v>3805</v>
      </c>
      <c r="J7612" s="70">
        <v>1</v>
      </c>
    </row>
    <row r="7613" spans="9:10" x14ac:dyDescent="0.3">
      <c r="I7613" s="72">
        <v>3805.5</v>
      </c>
      <c r="J7613" s="70">
        <v>1</v>
      </c>
    </row>
    <row r="7614" spans="9:10" x14ac:dyDescent="0.3">
      <c r="I7614" s="72">
        <v>3806</v>
      </c>
      <c r="J7614" s="70">
        <v>1</v>
      </c>
    </row>
    <row r="7615" spans="9:10" x14ac:dyDescent="0.3">
      <c r="I7615" s="72">
        <v>3806.5</v>
      </c>
      <c r="J7615" s="70">
        <v>1</v>
      </c>
    </row>
    <row r="7616" spans="9:10" x14ac:dyDescent="0.3">
      <c r="I7616" s="72">
        <v>3807</v>
      </c>
      <c r="J7616" s="70">
        <v>1</v>
      </c>
    </row>
    <row r="7617" spans="9:10" x14ac:dyDescent="0.3">
      <c r="I7617" s="72">
        <v>3807.5</v>
      </c>
      <c r="J7617" s="70">
        <v>1</v>
      </c>
    </row>
    <row r="7618" spans="9:10" x14ac:dyDescent="0.3">
      <c r="I7618" s="72">
        <v>3808</v>
      </c>
      <c r="J7618" s="70">
        <v>1</v>
      </c>
    </row>
    <row r="7619" spans="9:10" x14ac:dyDescent="0.3">
      <c r="I7619" s="72">
        <v>3808.5</v>
      </c>
      <c r="J7619" s="70">
        <v>1</v>
      </c>
    </row>
    <row r="7620" spans="9:10" x14ac:dyDescent="0.3">
      <c r="I7620" s="72">
        <v>3809</v>
      </c>
      <c r="J7620" s="70">
        <v>1</v>
      </c>
    </row>
    <row r="7621" spans="9:10" x14ac:dyDescent="0.3">
      <c r="I7621" s="72">
        <v>3809.5</v>
      </c>
      <c r="J7621" s="70">
        <v>1</v>
      </c>
    </row>
    <row r="7622" spans="9:10" x14ac:dyDescent="0.3">
      <c r="I7622" s="72">
        <v>3810</v>
      </c>
      <c r="J7622" s="70">
        <v>1</v>
      </c>
    </row>
    <row r="7623" spans="9:10" x14ac:dyDescent="0.3">
      <c r="I7623" s="72">
        <v>3810.5</v>
      </c>
      <c r="J7623" s="70">
        <v>1</v>
      </c>
    </row>
    <row r="7624" spans="9:10" x14ac:dyDescent="0.3">
      <c r="I7624" s="72">
        <v>3811</v>
      </c>
      <c r="J7624" s="70">
        <v>1</v>
      </c>
    </row>
    <row r="7625" spans="9:10" x14ac:dyDescent="0.3">
      <c r="I7625" s="72">
        <v>3811.5</v>
      </c>
      <c r="J7625" s="70">
        <v>1</v>
      </c>
    </row>
    <row r="7626" spans="9:10" x14ac:dyDescent="0.3">
      <c r="I7626" s="72">
        <v>3812</v>
      </c>
      <c r="J7626" s="70">
        <v>1</v>
      </c>
    </row>
    <row r="7627" spans="9:10" x14ac:dyDescent="0.3">
      <c r="I7627" s="72">
        <v>3812.5</v>
      </c>
      <c r="J7627" s="70">
        <v>1</v>
      </c>
    </row>
    <row r="7628" spans="9:10" x14ac:dyDescent="0.3">
      <c r="I7628" s="72">
        <v>3813</v>
      </c>
      <c r="J7628" s="70">
        <v>1</v>
      </c>
    </row>
    <row r="7629" spans="9:10" x14ac:dyDescent="0.3">
      <c r="I7629" s="72">
        <v>3813.5</v>
      </c>
      <c r="J7629" s="70">
        <v>1</v>
      </c>
    </row>
    <row r="7630" spans="9:10" x14ac:dyDescent="0.3">
      <c r="I7630" s="72">
        <v>3814</v>
      </c>
      <c r="J7630" s="70">
        <v>1</v>
      </c>
    </row>
    <row r="7631" spans="9:10" x14ac:dyDescent="0.3">
      <c r="I7631" s="72">
        <v>3814.5</v>
      </c>
      <c r="J7631" s="70">
        <v>1</v>
      </c>
    </row>
    <row r="7632" spans="9:10" x14ac:dyDescent="0.3">
      <c r="I7632" s="72">
        <v>3815</v>
      </c>
      <c r="J7632" s="70">
        <v>1</v>
      </c>
    </row>
    <row r="7633" spans="9:10" x14ac:dyDescent="0.3">
      <c r="I7633" s="72">
        <v>3815.5</v>
      </c>
      <c r="J7633" s="70">
        <v>1</v>
      </c>
    </row>
    <row r="7634" spans="9:10" x14ac:dyDescent="0.3">
      <c r="I7634" s="72">
        <v>3816</v>
      </c>
      <c r="J7634" s="70">
        <v>1</v>
      </c>
    </row>
    <row r="7635" spans="9:10" x14ac:dyDescent="0.3">
      <c r="I7635" s="72">
        <v>3816.5</v>
      </c>
      <c r="J7635" s="70">
        <v>1</v>
      </c>
    </row>
    <row r="7636" spans="9:10" x14ac:dyDescent="0.3">
      <c r="I7636" s="72">
        <v>3817</v>
      </c>
      <c r="J7636" s="70">
        <v>1</v>
      </c>
    </row>
    <row r="7637" spans="9:10" x14ac:dyDescent="0.3">
      <c r="I7637" s="72">
        <v>3817.5</v>
      </c>
      <c r="J7637" s="70">
        <v>1</v>
      </c>
    </row>
    <row r="7638" spans="9:10" x14ac:dyDescent="0.3">
      <c r="I7638" s="72">
        <v>3818</v>
      </c>
      <c r="J7638" s="70">
        <v>1</v>
      </c>
    </row>
    <row r="7639" spans="9:10" x14ac:dyDescent="0.3">
      <c r="I7639" s="72">
        <v>3818.5</v>
      </c>
      <c r="J7639" s="70">
        <v>1</v>
      </c>
    </row>
    <row r="7640" spans="9:10" x14ac:dyDescent="0.3">
      <c r="I7640" s="72">
        <v>3819</v>
      </c>
      <c r="J7640" s="70">
        <v>1</v>
      </c>
    </row>
    <row r="7641" spans="9:10" x14ac:dyDescent="0.3">
      <c r="I7641" s="72">
        <v>3819.5</v>
      </c>
      <c r="J7641" s="70">
        <v>1</v>
      </c>
    </row>
    <row r="7642" spans="9:10" x14ac:dyDescent="0.3">
      <c r="I7642" s="72">
        <v>3820</v>
      </c>
      <c r="J7642" s="70">
        <v>1</v>
      </c>
    </row>
    <row r="7643" spans="9:10" x14ac:dyDescent="0.3">
      <c r="I7643" s="72">
        <v>3820.5</v>
      </c>
      <c r="J7643" s="70">
        <v>1</v>
      </c>
    </row>
    <row r="7644" spans="9:10" x14ac:dyDescent="0.3">
      <c r="I7644" s="72">
        <v>3821</v>
      </c>
      <c r="J7644" s="70">
        <v>1</v>
      </c>
    </row>
    <row r="7645" spans="9:10" x14ac:dyDescent="0.3">
      <c r="I7645" s="72">
        <v>3821.5</v>
      </c>
      <c r="J7645" s="70">
        <v>1</v>
      </c>
    </row>
    <row r="7646" spans="9:10" x14ac:dyDescent="0.3">
      <c r="I7646" s="72">
        <v>3822</v>
      </c>
      <c r="J7646" s="70">
        <v>1</v>
      </c>
    </row>
    <row r="7647" spans="9:10" x14ac:dyDescent="0.3">
      <c r="I7647" s="72">
        <v>3822.5</v>
      </c>
      <c r="J7647" s="70">
        <v>1</v>
      </c>
    </row>
    <row r="7648" spans="9:10" x14ac:dyDescent="0.3">
      <c r="I7648" s="72">
        <v>3823</v>
      </c>
      <c r="J7648" s="70">
        <v>1</v>
      </c>
    </row>
    <row r="7649" spans="9:10" x14ac:dyDescent="0.3">
      <c r="I7649" s="72">
        <v>3823.5</v>
      </c>
      <c r="J7649" s="70">
        <v>1</v>
      </c>
    </row>
    <row r="7650" spans="9:10" x14ac:dyDescent="0.3">
      <c r="I7650" s="72">
        <v>3824</v>
      </c>
      <c r="J7650" s="70">
        <v>1</v>
      </c>
    </row>
    <row r="7651" spans="9:10" x14ac:dyDescent="0.3">
      <c r="I7651" s="72">
        <v>3824.5</v>
      </c>
      <c r="J7651" s="70">
        <v>1</v>
      </c>
    </row>
    <row r="7652" spans="9:10" x14ac:dyDescent="0.3">
      <c r="I7652" s="72">
        <v>3825</v>
      </c>
      <c r="J7652" s="70">
        <v>1</v>
      </c>
    </row>
    <row r="7653" spans="9:10" x14ac:dyDescent="0.3">
      <c r="I7653" s="72">
        <v>3825.5</v>
      </c>
      <c r="J7653" s="70">
        <v>1</v>
      </c>
    </row>
    <row r="7654" spans="9:10" x14ac:dyDescent="0.3">
      <c r="I7654" s="72">
        <v>3826</v>
      </c>
      <c r="J7654" s="70">
        <v>1</v>
      </c>
    </row>
    <row r="7655" spans="9:10" x14ac:dyDescent="0.3">
      <c r="I7655" s="72">
        <v>3826.5</v>
      </c>
      <c r="J7655" s="70">
        <v>1</v>
      </c>
    </row>
    <row r="7656" spans="9:10" x14ac:dyDescent="0.3">
      <c r="I7656" s="72">
        <v>3827</v>
      </c>
      <c r="J7656" s="70">
        <v>1</v>
      </c>
    </row>
    <row r="7657" spans="9:10" x14ac:dyDescent="0.3">
      <c r="I7657" s="72">
        <v>3827.5</v>
      </c>
      <c r="J7657" s="70">
        <v>1</v>
      </c>
    </row>
    <row r="7658" spans="9:10" x14ac:dyDescent="0.3">
      <c r="I7658" s="72">
        <v>3828</v>
      </c>
      <c r="J7658" s="70">
        <v>1</v>
      </c>
    </row>
    <row r="7659" spans="9:10" x14ac:dyDescent="0.3">
      <c r="I7659" s="72">
        <v>3828.5</v>
      </c>
      <c r="J7659" s="70">
        <v>1</v>
      </c>
    </row>
    <row r="7660" spans="9:10" x14ac:dyDescent="0.3">
      <c r="I7660" s="72">
        <v>3829</v>
      </c>
      <c r="J7660" s="70">
        <v>1</v>
      </c>
    </row>
    <row r="7661" spans="9:10" x14ac:dyDescent="0.3">
      <c r="I7661" s="72">
        <v>3829.5</v>
      </c>
      <c r="J7661" s="70">
        <v>1</v>
      </c>
    </row>
    <row r="7662" spans="9:10" x14ac:dyDescent="0.3">
      <c r="I7662" s="72">
        <v>3830</v>
      </c>
      <c r="J7662" s="70">
        <v>1</v>
      </c>
    </row>
    <row r="7663" spans="9:10" x14ac:dyDescent="0.3">
      <c r="I7663" s="72">
        <v>3830.5</v>
      </c>
      <c r="J7663" s="70">
        <v>1</v>
      </c>
    </row>
    <row r="7664" spans="9:10" x14ac:dyDescent="0.3">
      <c r="I7664" s="72">
        <v>3831</v>
      </c>
      <c r="J7664" s="70">
        <v>1</v>
      </c>
    </row>
    <row r="7665" spans="9:10" x14ac:dyDescent="0.3">
      <c r="I7665" s="72">
        <v>3831.5</v>
      </c>
      <c r="J7665" s="70">
        <v>1</v>
      </c>
    </row>
    <row r="7666" spans="9:10" x14ac:dyDescent="0.3">
      <c r="I7666" s="72">
        <v>3832</v>
      </c>
      <c r="J7666" s="70">
        <v>1</v>
      </c>
    </row>
    <row r="7667" spans="9:10" x14ac:dyDescent="0.3">
      <c r="I7667" s="72">
        <v>3832.5</v>
      </c>
      <c r="J7667" s="70">
        <v>1</v>
      </c>
    </row>
    <row r="7668" spans="9:10" x14ac:dyDescent="0.3">
      <c r="I7668" s="72">
        <v>3833</v>
      </c>
      <c r="J7668" s="70">
        <v>1</v>
      </c>
    </row>
    <row r="7669" spans="9:10" x14ac:dyDescent="0.3">
      <c r="I7669" s="72">
        <v>3833.5</v>
      </c>
      <c r="J7669" s="70">
        <v>1</v>
      </c>
    </row>
    <row r="7670" spans="9:10" x14ac:dyDescent="0.3">
      <c r="I7670" s="72">
        <v>3834</v>
      </c>
      <c r="J7670" s="70">
        <v>1</v>
      </c>
    </row>
    <row r="7671" spans="9:10" x14ac:dyDescent="0.3">
      <c r="I7671" s="72">
        <v>3834.5</v>
      </c>
      <c r="J7671" s="70">
        <v>1</v>
      </c>
    </row>
    <row r="7672" spans="9:10" x14ac:dyDescent="0.3">
      <c r="I7672" s="72">
        <v>3835</v>
      </c>
      <c r="J7672" s="70">
        <v>1</v>
      </c>
    </row>
    <row r="7673" spans="9:10" x14ac:dyDescent="0.3">
      <c r="I7673" s="72">
        <v>3835.5</v>
      </c>
      <c r="J7673" s="70">
        <v>1</v>
      </c>
    </row>
    <row r="7674" spans="9:10" x14ac:dyDescent="0.3">
      <c r="I7674" s="72">
        <v>3836</v>
      </c>
      <c r="J7674" s="70">
        <v>1</v>
      </c>
    </row>
    <row r="7675" spans="9:10" x14ac:dyDescent="0.3">
      <c r="I7675" s="72">
        <v>3836.5</v>
      </c>
      <c r="J7675" s="70">
        <v>1</v>
      </c>
    </row>
    <row r="7676" spans="9:10" x14ac:dyDescent="0.3">
      <c r="I7676" s="72">
        <v>3837</v>
      </c>
      <c r="J7676" s="70">
        <v>1</v>
      </c>
    </row>
    <row r="7677" spans="9:10" x14ac:dyDescent="0.3">
      <c r="I7677" s="72">
        <v>3837.5</v>
      </c>
      <c r="J7677" s="70">
        <v>1</v>
      </c>
    </row>
    <row r="7678" spans="9:10" x14ac:dyDescent="0.3">
      <c r="I7678" s="72">
        <v>3838</v>
      </c>
      <c r="J7678" s="70">
        <v>1</v>
      </c>
    </row>
    <row r="7679" spans="9:10" x14ac:dyDescent="0.3">
      <c r="I7679" s="72">
        <v>3838.5</v>
      </c>
      <c r="J7679" s="70">
        <v>1</v>
      </c>
    </row>
    <row r="7680" spans="9:10" x14ac:dyDescent="0.3">
      <c r="I7680" s="72">
        <v>3839</v>
      </c>
      <c r="J7680" s="70">
        <v>1</v>
      </c>
    </row>
    <row r="7681" spans="9:10" x14ac:dyDescent="0.3">
      <c r="I7681" s="72">
        <v>3839.5</v>
      </c>
      <c r="J7681" s="70">
        <v>1</v>
      </c>
    </row>
    <row r="7682" spans="9:10" x14ac:dyDescent="0.3">
      <c r="I7682" s="72">
        <v>3840</v>
      </c>
      <c r="J7682" s="70">
        <v>1</v>
      </c>
    </row>
    <row r="7683" spans="9:10" x14ac:dyDescent="0.3">
      <c r="I7683" s="72">
        <v>3840.5</v>
      </c>
      <c r="J7683" s="70">
        <v>1</v>
      </c>
    </row>
    <row r="7684" spans="9:10" x14ac:dyDescent="0.3">
      <c r="I7684" s="72">
        <v>3841</v>
      </c>
      <c r="J7684" s="70">
        <v>1</v>
      </c>
    </row>
    <row r="7685" spans="9:10" x14ac:dyDescent="0.3">
      <c r="I7685" s="72">
        <v>3841.5</v>
      </c>
      <c r="J7685" s="70">
        <v>1</v>
      </c>
    </row>
    <row r="7686" spans="9:10" x14ac:dyDescent="0.3">
      <c r="I7686" s="72">
        <v>3842</v>
      </c>
      <c r="J7686" s="70">
        <v>1</v>
      </c>
    </row>
    <row r="7687" spans="9:10" x14ac:dyDescent="0.3">
      <c r="I7687" s="72">
        <v>3842.5</v>
      </c>
      <c r="J7687" s="70">
        <v>1</v>
      </c>
    </row>
    <row r="7688" spans="9:10" x14ac:dyDescent="0.3">
      <c r="I7688" s="72">
        <v>3843</v>
      </c>
      <c r="J7688" s="70">
        <v>1</v>
      </c>
    </row>
    <row r="7689" spans="9:10" x14ac:dyDescent="0.3">
      <c r="I7689" s="72">
        <v>3843.5</v>
      </c>
      <c r="J7689" s="70">
        <v>1</v>
      </c>
    </row>
    <row r="7690" spans="9:10" x14ac:dyDescent="0.3">
      <c r="I7690" s="72">
        <v>3844</v>
      </c>
      <c r="J7690" s="70">
        <v>1</v>
      </c>
    </row>
    <row r="7691" spans="9:10" x14ac:dyDescent="0.3">
      <c r="I7691" s="72">
        <v>3844.5</v>
      </c>
      <c r="J7691" s="70">
        <v>1</v>
      </c>
    </row>
    <row r="7692" spans="9:10" x14ac:dyDescent="0.3">
      <c r="I7692" s="72">
        <v>3845</v>
      </c>
      <c r="J7692" s="70">
        <v>1</v>
      </c>
    </row>
    <row r="7693" spans="9:10" x14ac:dyDescent="0.3">
      <c r="I7693" s="72">
        <v>3845.5</v>
      </c>
      <c r="J7693" s="70">
        <v>1</v>
      </c>
    </row>
    <row r="7694" spans="9:10" x14ac:dyDescent="0.3">
      <c r="I7694" s="72">
        <v>3846</v>
      </c>
      <c r="J7694" s="70">
        <v>1</v>
      </c>
    </row>
    <row r="7695" spans="9:10" x14ac:dyDescent="0.3">
      <c r="I7695" s="72">
        <v>3846.5</v>
      </c>
      <c r="J7695" s="70">
        <v>1</v>
      </c>
    </row>
    <row r="7696" spans="9:10" x14ac:dyDescent="0.3">
      <c r="I7696" s="72">
        <v>3847</v>
      </c>
      <c r="J7696" s="70">
        <v>1</v>
      </c>
    </row>
    <row r="7697" spans="9:10" x14ac:dyDescent="0.3">
      <c r="I7697" s="72">
        <v>3847.5</v>
      </c>
      <c r="J7697" s="70">
        <v>1</v>
      </c>
    </row>
    <row r="7698" spans="9:10" x14ac:dyDescent="0.3">
      <c r="I7698" s="72">
        <v>3848</v>
      </c>
      <c r="J7698" s="70">
        <v>1</v>
      </c>
    </row>
    <row r="7699" spans="9:10" x14ac:dyDescent="0.3">
      <c r="I7699" s="72">
        <v>3848.5</v>
      </c>
      <c r="J7699" s="70">
        <v>1</v>
      </c>
    </row>
    <row r="7700" spans="9:10" x14ac:dyDescent="0.3">
      <c r="I7700" s="72">
        <v>3849</v>
      </c>
      <c r="J7700" s="70">
        <v>1</v>
      </c>
    </row>
    <row r="7701" spans="9:10" x14ac:dyDescent="0.3">
      <c r="I7701" s="72">
        <v>3849.5</v>
      </c>
      <c r="J7701" s="70">
        <v>1</v>
      </c>
    </row>
    <row r="7702" spans="9:10" x14ac:dyDescent="0.3">
      <c r="I7702" s="72">
        <v>3850</v>
      </c>
      <c r="J7702" s="70">
        <v>1</v>
      </c>
    </row>
    <row r="7703" spans="9:10" x14ac:dyDescent="0.3">
      <c r="I7703" s="72">
        <v>3850.5</v>
      </c>
      <c r="J7703" s="70">
        <v>1</v>
      </c>
    </row>
    <row r="7704" spans="9:10" x14ac:dyDescent="0.3">
      <c r="I7704" s="72">
        <v>3851</v>
      </c>
      <c r="J7704" s="70">
        <v>1</v>
      </c>
    </row>
    <row r="7705" spans="9:10" x14ac:dyDescent="0.3">
      <c r="I7705" s="72">
        <v>3851.5</v>
      </c>
      <c r="J7705" s="70">
        <v>1</v>
      </c>
    </row>
    <row r="7706" spans="9:10" x14ac:dyDescent="0.3">
      <c r="I7706" s="72">
        <v>3852</v>
      </c>
      <c r="J7706" s="70">
        <v>1</v>
      </c>
    </row>
    <row r="7707" spans="9:10" x14ac:dyDescent="0.3">
      <c r="I7707" s="72">
        <v>3852.5</v>
      </c>
      <c r="J7707" s="70">
        <v>1</v>
      </c>
    </row>
    <row r="7708" spans="9:10" x14ac:dyDescent="0.3">
      <c r="I7708" s="72">
        <v>3853</v>
      </c>
      <c r="J7708" s="70">
        <v>1</v>
      </c>
    </row>
    <row r="7709" spans="9:10" x14ac:dyDescent="0.3">
      <c r="I7709" s="72">
        <v>3853.5</v>
      </c>
      <c r="J7709" s="70">
        <v>1</v>
      </c>
    </row>
    <row r="7710" spans="9:10" x14ac:dyDescent="0.3">
      <c r="I7710" s="72">
        <v>3854</v>
      </c>
      <c r="J7710" s="70">
        <v>1</v>
      </c>
    </row>
    <row r="7711" spans="9:10" x14ac:dyDescent="0.3">
      <c r="I7711" s="72">
        <v>3854.5</v>
      </c>
      <c r="J7711" s="70">
        <v>1</v>
      </c>
    </row>
    <row r="7712" spans="9:10" x14ac:dyDescent="0.3">
      <c r="I7712" s="72">
        <v>3855</v>
      </c>
      <c r="J7712" s="70">
        <v>1</v>
      </c>
    </row>
    <row r="7713" spans="9:10" x14ac:dyDescent="0.3">
      <c r="I7713" s="72">
        <v>3855.5</v>
      </c>
      <c r="J7713" s="70">
        <v>1</v>
      </c>
    </row>
    <row r="7714" spans="9:10" x14ac:dyDescent="0.3">
      <c r="I7714" s="72">
        <v>3856</v>
      </c>
      <c r="J7714" s="70">
        <v>1</v>
      </c>
    </row>
    <row r="7715" spans="9:10" x14ac:dyDescent="0.3">
      <c r="I7715" s="72">
        <v>3856.5</v>
      </c>
      <c r="J7715" s="70">
        <v>1</v>
      </c>
    </row>
    <row r="7716" spans="9:10" x14ac:dyDescent="0.3">
      <c r="I7716" s="72">
        <v>3857</v>
      </c>
      <c r="J7716" s="70">
        <v>1</v>
      </c>
    </row>
    <row r="7717" spans="9:10" x14ac:dyDescent="0.3">
      <c r="I7717" s="72">
        <v>3857.5</v>
      </c>
      <c r="J7717" s="70">
        <v>1</v>
      </c>
    </row>
    <row r="7718" spans="9:10" x14ac:dyDescent="0.3">
      <c r="I7718" s="72">
        <v>3858</v>
      </c>
      <c r="J7718" s="70">
        <v>1</v>
      </c>
    </row>
    <row r="7719" spans="9:10" x14ac:dyDescent="0.3">
      <c r="I7719" s="72">
        <v>3858.5</v>
      </c>
      <c r="J7719" s="70">
        <v>1</v>
      </c>
    </row>
    <row r="7720" spans="9:10" x14ac:dyDescent="0.3">
      <c r="I7720" s="72">
        <v>3859</v>
      </c>
      <c r="J7720" s="70">
        <v>1</v>
      </c>
    </row>
    <row r="7721" spans="9:10" x14ac:dyDescent="0.3">
      <c r="I7721" s="72">
        <v>3859.5</v>
      </c>
      <c r="J7721" s="70">
        <v>1</v>
      </c>
    </row>
    <row r="7722" spans="9:10" x14ac:dyDescent="0.3">
      <c r="I7722" s="72">
        <v>3860</v>
      </c>
      <c r="J7722" s="70">
        <v>1</v>
      </c>
    </row>
    <row r="7723" spans="9:10" x14ac:dyDescent="0.3">
      <c r="I7723" s="72">
        <v>3860.5</v>
      </c>
      <c r="J7723" s="70">
        <v>1</v>
      </c>
    </row>
    <row r="7724" spans="9:10" x14ac:dyDescent="0.3">
      <c r="I7724" s="72">
        <v>3861</v>
      </c>
      <c r="J7724" s="70">
        <v>1</v>
      </c>
    </row>
    <row r="7725" spans="9:10" x14ac:dyDescent="0.3">
      <c r="I7725" s="72">
        <v>3861.5</v>
      </c>
      <c r="J7725" s="70">
        <v>1</v>
      </c>
    </row>
    <row r="7726" spans="9:10" x14ac:dyDescent="0.3">
      <c r="I7726" s="72">
        <v>3862</v>
      </c>
      <c r="J7726" s="70">
        <v>1</v>
      </c>
    </row>
    <row r="7727" spans="9:10" x14ac:dyDescent="0.3">
      <c r="I7727" s="72">
        <v>3862.5</v>
      </c>
      <c r="J7727" s="70">
        <v>1</v>
      </c>
    </row>
    <row r="7728" spans="9:10" x14ac:dyDescent="0.3">
      <c r="I7728" s="72">
        <v>3863</v>
      </c>
      <c r="J7728" s="70">
        <v>1</v>
      </c>
    </row>
    <row r="7729" spans="9:10" x14ac:dyDescent="0.3">
      <c r="I7729" s="72">
        <v>3863.5</v>
      </c>
      <c r="J7729" s="70">
        <v>1</v>
      </c>
    </row>
    <row r="7730" spans="9:10" x14ac:dyDescent="0.3">
      <c r="I7730" s="72">
        <v>3864</v>
      </c>
      <c r="J7730" s="70">
        <v>1</v>
      </c>
    </row>
    <row r="7731" spans="9:10" x14ac:dyDescent="0.3">
      <c r="I7731" s="72">
        <v>3864.5</v>
      </c>
      <c r="J7731" s="70">
        <v>1</v>
      </c>
    </row>
    <row r="7732" spans="9:10" x14ac:dyDescent="0.3">
      <c r="I7732" s="72">
        <v>3865</v>
      </c>
      <c r="J7732" s="70">
        <v>1</v>
      </c>
    </row>
    <row r="7733" spans="9:10" x14ac:dyDescent="0.3">
      <c r="I7733" s="72">
        <v>3865.5</v>
      </c>
      <c r="J7733" s="70">
        <v>1</v>
      </c>
    </row>
    <row r="7734" spans="9:10" x14ac:dyDescent="0.3">
      <c r="I7734" s="72">
        <v>3866</v>
      </c>
      <c r="J7734" s="70">
        <v>1</v>
      </c>
    </row>
    <row r="7735" spans="9:10" x14ac:dyDescent="0.3">
      <c r="I7735" s="72">
        <v>3866.5</v>
      </c>
      <c r="J7735" s="70">
        <v>1</v>
      </c>
    </row>
    <row r="7736" spans="9:10" x14ac:dyDescent="0.3">
      <c r="I7736" s="72">
        <v>3867</v>
      </c>
      <c r="J7736" s="70">
        <v>1</v>
      </c>
    </row>
    <row r="7737" spans="9:10" x14ac:dyDescent="0.3">
      <c r="I7737" s="72">
        <v>3867.5</v>
      </c>
      <c r="J7737" s="70">
        <v>1</v>
      </c>
    </row>
    <row r="7738" spans="9:10" x14ac:dyDescent="0.3">
      <c r="I7738" s="72">
        <v>3868</v>
      </c>
      <c r="J7738" s="70">
        <v>1</v>
      </c>
    </row>
    <row r="7739" spans="9:10" x14ac:dyDescent="0.3">
      <c r="I7739" s="72">
        <v>3868.5</v>
      </c>
      <c r="J7739" s="70">
        <v>1</v>
      </c>
    </row>
    <row r="7740" spans="9:10" x14ac:dyDescent="0.3">
      <c r="I7740" s="72">
        <v>3869</v>
      </c>
      <c r="J7740" s="70">
        <v>1</v>
      </c>
    </row>
    <row r="7741" spans="9:10" x14ac:dyDescent="0.3">
      <c r="I7741" s="72">
        <v>3869.5</v>
      </c>
      <c r="J7741" s="70">
        <v>1</v>
      </c>
    </row>
    <row r="7742" spans="9:10" x14ac:dyDescent="0.3">
      <c r="I7742" s="72">
        <v>3870</v>
      </c>
      <c r="J7742" s="70">
        <v>1</v>
      </c>
    </row>
    <row r="7743" spans="9:10" x14ac:dyDescent="0.3">
      <c r="I7743" s="72">
        <v>3870.5</v>
      </c>
      <c r="J7743" s="70">
        <v>1</v>
      </c>
    </row>
    <row r="7744" spans="9:10" x14ac:dyDescent="0.3">
      <c r="I7744" s="72">
        <v>3871</v>
      </c>
      <c r="J7744" s="70">
        <v>1</v>
      </c>
    </row>
    <row r="7745" spans="9:10" x14ac:dyDescent="0.3">
      <c r="I7745" s="72">
        <v>3871.5</v>
      </c>
      <c r="J7745" s="70">
        <v>1</v>
      </c>
    </row>
    <row r="7746" spans="9:10" x14ac:dyDescent="0.3">
      <c r="I7746" s="72">
        <v>3872</v>
      </c>
      <c r="J7746" s="70">
        <v>1</v>
      </c>
    </row>
    <row r="7747" spans="9:10" x14ac:dyDescent="0.3">
      <c r="I7747" s="72">
        <v>3872.5</v>
      </c>
      <c r="J7747" s="70">
        <v>1</v>
      </c>
    </row>
    <row r="7748" spans="9:10" x14ac:dyDescent="0.3">
      <c r="I7748" s="72">
        <v>3873</v>
      </c>
      <c r="J7748" s="70">
        <v>1</v>
      </c>
    </row>
    <row r="7749" spans="9:10" x14ac:dyDescent="0.3">
      <c r="I7749" s="72">
        <v>3873.5</v>
      </c>
      <c r="J7749" s="70">
        <v>1</v>
      </c>
    </row>
    <row r="7750" spans="9:10" x14ac:dyDescent="0.3">
      <c r="I7750" s="72">
        <v>3874</v>
      </c>
      <c r="J7750" s="70">
        <v>1</v>
      </c>
    </row>
    <row r="7751" spans="9:10" x14ac:dyDescent="0.3">
      <c r="I7751" s="72">
        <v>3874.5</v>
      </c>
      <c r="J7751" s="70">
        <v>1</v>
      </c>
    </row>
    <row r="7752" spans="9:10" x14ac:dyDescent="0.3">
      <c r="I7752" s="72">
        <v>3875</v>
      </c>
      <c r="J7752" s="70">
        <v>1</v>
      </c>
    </row>
    <row r="7753" spans="9:10" x14ac:dyDescent="0.3">
      <c r="I7753" s="72">
        <v>3875.5</v>
      </c>
      <c r="J7753" s="70">
        <v>1</v>
      </c>
    </row>
    <row r="7754" spans="9:10" x14ac:dyDescent="0.3">
      <c r="I7754" s="72">
        <v>3876</v>
      </c>
      <c r="J7754" s="70">
        <v>1</v>
      </c>
    </row>
    <row r="7755" spans="9:10" x14ac:dyDescent="0.3">
      <c r="I7755" s="72">
        <v>3876.5</v>
      </c>
      <c r="J7755" s="70">
        <v>1</v>
      </c>
    </row>
    <row r="7756" spans="9:10" x14ac:dyDescent="0.3">
      <c r="I7756" s="72">
        <v>3877</v>
      </c>
      <c r="J7756" s="70">
        <v>1</v>
      </c>
    </row>
    <row r="7757" spans="9:10" x14ac:dyDescent="0.3">
      <c r="I7757" s="72">
        <v>3877.5</v>
      </c>
      <c r="J7757" s="70">
        <v>1</v>
      </c>
    </row>
    <row r="7758" spans="9:10" x14ac:dyDescent="0.3">
      <c r="I7758" s="72">
        <v>3878</v>
      </c>
      <c r="J7758" s="70">
        <v>1</v>
      </c>
    </row>
    <row r="7759" spans="9:10" x14ac:dyDescent="0.3">
      <c r="I7759" s="72">
        <v>3878.5</v>
      </c>
      <c r="J7759" s="70">
        <v>1</v>
      </c>
    </row>
    <row r="7760" spans="9:10" x14ac:dyDescent="0.3">
      <c r="I7760" s="72">
        <v>3879</v>
      </c>
      <c r="J7760" s="70">
        <v>1</v>
      </c>
    </row>
    <row r="7761" spans="9:10" x14ac:dyDescent="0.3">
      <c r="I7761" s="72">
        <v>3879.5</v>
      </c>
      <c r="J7761" s="70">
        <v>1</v>
      </c>
    </row>
    <row r="7762" spans="9:10" x14ac:dyDescent="0.3">
      <c r="I7762" s="72">
        <v>3880</v>
      </c>
      <c r="J7762" s="70">
        <v>1</v>
      </c>
    </row>
    <row r="7763" spans="9:10" x14ac:dyDescent="0.3">
      <c r="I7763" s="72">
        <v>3880.5</v>
      </c>
      <c r="J7763" s="70">
        <v>1</v>
      </c>
    </row>
    <row r="7764" spans="9:10" x14ac:dyDescent="0.3">
      <c r="I7764" s="72">
        <v>3881</v>
      </c>
      <c r="J7764" s="70">
        <v>1</v>
      </c>
    </row>
    <row r="7765" spans="9:10" x14ac:dyDescent="0.3">
      <c r="I7765" s="72">
        <v>3881.5</v>
      </c>
      <c r="J7765" s="70">
        <v>1</v>
      </c>
    </row>
    <row r="7766" spans="9:10" x14ac:dyDescent="0.3">
      <c r="I7766" s="72">
        <v>3882</v>
      </c>
      <c r="J7766" s="70">
        <v>1</v>
      </c>
    </row>
    <row r="7767" spans="9:10" x14ac:dyDescent="0.3">
      <c r="I7767" s="72">
        <v>3882.5</v>
      </c>
      <c r="J7767" s="70">
        <v>1</v>
      </c>
    </row>
    <row r="7768" spans="9:10" x14ac:dyDescent="0.3">
      <c r="I7768" s="72">
        <v>3883</v>
      </c>
      <c r="J7768" s="70">
        <v>1</v>
      </c>
    </row>
    <row r="7769" spans="9:10" x14ac:dyDescent="0.3">
      <c r="I7769" s="72">
        <v>3883.5</v>
      </c>
      <c r="J7769" s="70">
        <v>1</v>
      </c>
    </row>
    <row r="7770" spans="9:10" x14ac:dyDescent="0.3">
      <c r="I7770" s="72">
        <v>3884</v>
      </c>
      <c r="J7770" s="70">
        <v>1</v>
      </c>
    </row>
    <row r="7771" spans="9:10" x14ac:dyDescent="0.3">
      <c r="I7771" s="72">
        <v>3884.5</v>
      </c>
      <c r="J7771" s="70">
        <v>1</v>
      </c>
    </row>
    <row r="7772" spans="9:10" x14ac:dyDescent="0.3">
      <c r="I7772" s="72">
        <v>3885</v>
      </c>
      <c r="J7772" s="70">
        <v>1</v>
      </c>
    </row>
    <row r="7773" spans="9:10" x14ac:dyDescent="0.3">
      <c r="I7773" s="72">
        <v>3885.5</v>
      </c>
      <c r="J7773" s="70">
        <v>1</v>
      </c>
    </row>
    <row r="7774" spans="9:10" x14ac:dyDescent="0.3">
      <c r="I7774" s="72">
        <v>3886</v>
      </c>
      <c r="J7774" s="70">
        <v>1</v>
      </c>
    </row>
    <row r="7775" spans="9:10" x14ac:dyDescent="0.3">
      <c r="I7775" s="72">
        <v>3886.5</v>
      </c>
      <c r="J7775" s="70">
        <v>1</v>
      </c>
    </row>
    <row r="7776" spans="9:10" x14ac:dyDescent="0.3">
      <c r="I7776" s="72">
        <v>3887</v>
      </c>
      <c r="J7776" s="70">
        <v>1</v>
      </c>
    </row>
    <row r="7777" spans="9:10" x14ac:dyDescent="0.3">
      <c r="I7777" s="72">
        <v>3887.5</v>
      </c>
      <c r="J7777" s="70">
        <v>1</v>
      </c>
    </row>
    <row r="7778" spans="9:10" x14ac:dyDescent="0.3">
      <c r="I7778" s="72">
        <v>3888</v>
      </c>
      <c r="J7778" s="70">
        <v>1</v>
      </c>
    </row>
    <row r="7779" spans="9:10" x14ac:dyDescent="0.3">
      <c r="I7779" s="72">
        <v>3888.5</v>
      </c>
      <c r="J7779" s="70">
        <v>1</v>
      </c>
    </row>
    <row r="7780" spans="9:10" x14ac:dyDescent="0.3">
      <c r="I7780" s="72">
        <v>3889</v>
      </c>
      <c r="J7780" s="70">
        <v>1</v>
      </c>
    </row>
    <row r="7781" spans="9:10" x14ac:dyDescent="0.3">
      <c r="I7781" s="72">
        <v>3889.5</v>
      </c>
      <c r="J7781" s="70">
        <v>1</v>
      </c>
    </row>
    <row r="7782" spans="9:10" x14ac:dyDescent="0.3">
      <c r="I7782" s="72">
        <v>3890</v>
      </c>
      <c r="J7782" s="70">
        <v>1</v>
      </c>
    </row>
    <row r="7783" spans="9:10" x14ac:dyDescent="0.3">
      <c r="I7783" s="72">
        <v>3890.5</v>
      </c>
      <c r="J7783" s="70">
        <v>1</v>
      </c>
    </row>
    <row r="7784" spans="9:10" x14ac:dyDescent="0.3">
      <c r="I7784" s="72">
        <v>3891</v>
      </c>
      <c r="J7784" s="70">
        <v>1</v>
      </c>
    </row>
    <row r="7785" spans="9:10" x14ac:dyDescent="0.3">
      <c r="I7785" s="72">
        <v>3891.5</v>
      </c>
      <c r="J7785" s="70">
        <v>1</v>
      </c>
    </row>
    <row r="7786" spans="9:10" x14ac:dyDescent="0.3">
      <c r="I7786" s="72">
        <v>3892</v>
      </c>
      <c r="J7786" s="70">
        <v>1</v>
      </c>
    </row>
    <row r="7787" spans="9:10" x14ac:dyDescent="0.3">
      <c r="I7787" s="72">
        <v>3892.5</v>
      </c>
      <c r="J7787" s="70">
        <v>1</v>
      </c>
    </row>
    <row r="7788" spans="9:10" x14ac:dyDescent="0.3">
      <c r="I7788" s="72">
        <v>3893</v>
      </c>
      <c r="J7788" s="70">
        <v>1</v>
      </c>
    </row>
    <row r="7789" spans="9:10" x14ac:dyDescent="0.3">
      <c r="I7789" s="72">
        <v>3893.5</v>
      </c>
      <c r="J7789" s="70">
        <v>1</v>
      </c>
    </row>
    <row r="7790" spans="9:10" x14ac:dyDescent="0.3">
      <c r="I7790" s="72">
        <v>3894</v>
      </c>
      <c r="J7790" s="70">
        <v>1</v>
      </c>
    </row>
    <row r="7791" spans="9:10" x14ac:dyDescent="0.3">
      <c r="I7791" s="72">
        <v>3894.5</v>
      </c>
      <c r="J7791" s="70">
        <v>1</v>
      </c>
    </row>
    <row r="7792" spans="9:10" x14ac:dyDescent="0.3">
      <c r="I7792" s="72">
        <v>3895</v>
      </c>
      <c r="J7792" s="70">
        <v>1</v>
      </c>
    </row>
    <row r="7793" spans="9:10" x14ac:dyDescent="0.3">
      <c r="I7793" s="72">
        <v>3895.5</v>
      </c>
      <c r="J7793" s="70">
        <v>1</v>
      </c>
    </row>
    <row r="7794" spans="9:10" x14ac:dyDescent="0.3">
      <c r="I7794" s="72">
        <v>3896</v>
      </c>
      <c r="J7794" s="70">
        <v>1</v>
      </c>
    </row>
    <row r="7795" spans="9:10" x14ac:dyDescent="0.3">
      <c r="I7795" s="72">
        <v>3896.5</v>
      </c>
      <c r="J7795" s="70">
        <v>1</v>
      </c>
    </row>
    <row r="7796" spans="9:10" x14ac:dyDescent="0.3">
      <c r="I7796" s="72">
        <v>3897</v>
      </c>
      <c r="J7796" s="70">
        <v>1</v>
      </c>
    </row>
    <row r="7797" spans="9:10" x14ac:dyDescent="0.3">
      <c r="I7797" s="72">
        <v>3897.5</v>
      </c>
      <c r="J7797" s="70">
        <v>1</v>
      </c>
    </row>
    <row r="7798" spans="9:10" x14ac:dyDescent="0.3">
      <c r="I7798" s="72">
        <v>3898</v>
      </c>
      <c r="J7798" s="70">
        <v>1</v>
      </c>
    </row>
    <row r="7799" spans="9:10" x14ac:dyDescent="0.3">
      <c r="I7799" s="72">
        <v>3898.5</v>
      </c>
      <c r="J7799" s="70">
        <v>1</v>
      </c>
    </row>
    <row r="7800" spans="9:10" x14ac:dyDescent="0.3">
      <c r="I7800" s="72">
        <v>3899</v>
      </c>
      <c r="J7800" s="70">
        <v>1</v>
      </c>
    </row>
    <row r="7801" spans="9:10" x14ac:dyDescent="0.3">
      <c r="I7801" s="72">
        <v>3899.5</v>
      </c>
      <c r="J7801" s="70">
        <v>1</v>
      </c>
    </row>
    <row r="7802" spans="9:10" x14ac:dyDescent="0.3">
      <c r="I7802" s="72">
        <v>3900</v>
      </c>
      <c r="J7802" s="70">
        <v>1</v>
      </c>
    </row>
    <row r="7803" spans="9:10" x14ac:dyDescent="0.3">
      <c r="I7803" s="72">
        <v>3900.5</v>
      </c>
      <c r="J7803" s="70">
        <v>1</v>
      </c>
    </row>
    <row r="7804" spans="9:10" x14ac:dyDescent="0.3">
      <c r="I7804" s="72">
        <v>3901</v>
      </c>
      <c r="J7804" s="70">
        <v>1</v>
      </c>
    </row>
    <row r="7805" spans="9:10" x14ac:dyDescent="0.3">
      <c r="I7805" s="72">
        <v>3901.5</v>
      </c>
      <c r="J7805" s="70">
        <v>1</v>
      </c>
    </row>
    <row r="7806" spans="9:10" x14ac:dyDescent="0.3">
      <c r="I7806" s="72">
        <v>3902</v>
      </c>
      <c r="J7806" s="70">
        <v>1</v>
      </c>
    </row>
    <row r="7807" spans="9:10" x14ac:dyDescent="0.3">
      <c r="I7807" s="72">
        <v>3902.5</v>
      </c>
      <c r="J7807" s="70">
        <v>1</v>
      </c>
    </row>
    <row r="7808" spans="9:10" x14ac:dyDescent="0.3">
      <c r="I7808" s="72">
        <v>3903</v>
      </c>
      <c r="J7808" s="70">
        <v>1</v>
      </c>
    </row>
    <row r="7809" spans="9:10" x14ac:dyDescent="0.3">
      <c r="I7809" s="72">
        <v>3903.5</v>
      </c>
      <c r="J7809" s="70">
        <v>1</v>
      </c>
    </row>
    <row r="7810" spans="9:10" x14ac:dyDescent="0.3">
      <c r="I7810" s="72">
        <v>3904</v>
      </c>
      <c r="J7810" s="70">
        <v>1</v>
      </c>
    </row>
    <row r="7811" spans="9:10" x14ac:dyDescent="0.3">
      <c r="I7811" s="72">
        <v>3904.5</v>
      </c>
      <c r="J7811" s="70">
        <v>1</v>
      </c>
    </row>
    <row r="7812" spans="9:10" x14ac:dyDescent="0.3">
      <c r="I7812" s="72">
        <v>3905</v>
      </c>
      <c r="J7812" s="70">
        <v>1</v>
      </c>
    </row>
    <row r="7813" spans="9:10" x14ac:dyDescent="0.3">
      <c r="I7813" s="72">
        <v>3905.5</v>
      </c>
      <c r="J7813" s="70">
        <v>1</v>
      </c>
    </row>
    <row r="7814" spans="9:10" x14ac:dyDescent="0.3">
      <c r="I7814" s="72">
        <v>3906</v>
      </c>
      <c r="J7814" s="70">
        <v>1</v>
      </c>
    </row>
    <row r="7815" spans="9:10" x14ac:dyDescent="0.3">
      <c r="I7815" s="72">
        <v>3906.5</v>
      </c>
      <c r="J7815" s="70">
        <v>1</v>
      </c>
    </row>
    <row r="7816" spans="9:10" x14ac:dyDescent="0.3">
      <c r="I7816" s="72">
        <v>3907</v>
      </c>
      <c r="J7816" s="70">
        <v>1</v>
      </c>
    </row>
    <row r="7817" spans="9:10" x14ac:dyDescent="0.3">
      <c r="I7817" s="72">
        <v>3907.5</v>
      </c>
      <c r="J7817" s="70">
        <v>1</v>
      </c>
    </row>
    <row r="7818" spans="9:10" x14ac:dyDescent="0.3">
      <c r="I7818" s="72">
        <v>3908</v>
      </c>
      <c r="J7818" s="70">
        <v>1</v>
      </c>
    </row>
    <row r="7819" spans="9:10" x14ac:dyDescent="0.3">
      <c r="I7819" s="72">
        <v>3908.5</v>
      </c>
      <c r="J7819" s="70">
        <v>1</v>
      </c>
    </row>
    <row r="7820" spans="9:10" x14ac:dyDescent="0.3">
      <c r="I7820" s="72">
        <v>3909</v>
      </c>
      <c r="J7820" s="70">
        <v>1</v>
      </c>
    </row>
    <row r="7821" spans="9:10" x14ac:dyDescent="0.3">
      <c r="I7821" s="72">
        <v>3909.5</v>
      </c>
      <c r="J7821" s="70">
        <v>1</v>
      </c>
    </row>
    <row r="7822" spans="9:10" x14ac:dyDescent="0.3">
      <c r="I7822" s="72">
        <v>3910</v>
      </c>
      <c r="J7822" s="70">
        <v>1</v>
      </c>
    </row>
    <row r="7823" spans="9:10" x14ac:dyDescent="0.3">
      <c r="I7823" s="72">
        <v>3910.5</v>
      </c>
      <c r="J7823" s="70">
        <v>1</v>
      </c>
    </row>
    <row r="7824" spans="9:10" x14ac:dyDescent="0.3">
      <c r="I7824" s="72">
        <v>3911</v>
      </c>
      <c r="J7824" s="70">
        <v>1</v>
      </c>
    </row>
    <row r="7825" spans="9:10" x14ac:dyDescent="0.3">
      <c r="I7825" s="72">
        <v>3911.5</v>
      </c>
      <c r="J7825" s="70">
        <v>1</v>
      </c>
    </row>
    <row r="7826" spans="9:10" x14ac:dyDescent="0.3">
      <c r="I7826" s="72">
        <v>3912</v>
      </c>
      <c r="J7826" s="70">
        <v>1</v>
      </c>
    </row>
    <row r="7827" spans="9:10" x14ac:dyDescent="0.3">
      <c r="I7827" s="72">
        <v>3912.5</v>
      </c>
      <c r="J7827" s="70">
        <v>1</v>
      </c>
    </row>
    <row r="7828" spans="9:10" x14ac:dyDescent="0.3">
      <c r="I7828" s="72">
        <v>3913</v>
      </c>
      <c r="J7828" s="70">
        <v>1</v>
      </c>
    </row>
    <row r="7829" spans="9:10" x14ac:dyDescent="0.3">
      <c r="I7829" s="72">
        <v>3913.5</v>
      </c>
      <c r="J7829" s="70">
        <v>1</v>
      </c>
    </row>
    <row r="7830" spans="9:10" x14ac:dyDescent="0.3">
      <c r="I7830" s="72">
        <v>3914</v>
      </c>
      <c r="J7830" s="70">
        <v>1</v>
      </c>
    </row>
    <row r="7831" spans="9:10" x14ac:dyDescent="0.3">
      <c r="I7831" s="72">
        <v>3914.5</v>
      </c>
      <c r="J7831" s="70">
        <v>1</v>
      </c>
    </row>
    <row r="7832" spans="9:10" x14ac:dyDescent="0.3">
      <c r="I7832" s="72">
        <v>3915</v>
      </c>
      <c r="J7832" s="70">
        <v>1</v>
      </c>
    </row>
    <row r="7833" spans="9:10" x14ac:dyDescent="0.3">
      <c r="I7833" s="72">
        <v>3915.5</v>
      </c>
      <c r="J7833" s="70">
        <v>1</v>
      </c>
    </row>
    <row r="7834" spans="9:10" x14ac:dyDescent="0.3">
      <c r="I7834" s="72">
        <v>3916</v>
      </c>
      <c r="J7834" s="70">
        <v>1</v>
      </c>
    </row>
    <row r="7835" spans="9:10" x14ac:dyDescent="0.3">
      <c r="I7835" s="72">
        <v>3916.5</v>
      </c>
      <c r="J7835" s="70">
        <v>1</v>
      </c>
    </row>
    <row r="7836" spans="9:10" x14ac:dyDescent="0.3">
      <c r="I7836" s="72">
        <v>3917</v>
      </c>
      <c r="J7836" s="70">
        <v>1</v>
      </c>
    </row>
    <row r="7837" spans="9:10" x14ac:dyDescent="0.3">
      <c r="I7837" s="72">
        <v>3917.5</v>
      </c>
      <c r="J7837" s="70">
        <v>1</v>
      </c>
    </row>
    <row r="7838" spans="9:10" x14ac:dyDescent="0.3">
      <c r="I7838" s="72">
        <v>3918</v>
      </c>
      <c r="J7838" s="70">
        <v>1</v>
      </c>
    </row>
    <row r="7839" spans="9:10" x14ac:dyDescent="0.3">
      <c r="I7839" s="72">
        <v>3918.5</v>
      </c>
      <c r="J7839" s="70">
        <v>1</v>
      </c>
    </row>
    <row r="7840" spans="9:10" x14ac:dyDescent="0.3">
      <c r="I7840" s="72">
        <v>3919</v>
      </c>
      <c r="J7840" s="70">
        <v>1</v>
      </c>
    </row>
    <row r="7841" spans="9:10" x14ac:dyDescent="0.3">
      <c r="I7841" s="72">
        <v>3919.5</v>
      </c>
      <c r="J7841" s="70">
        <v>1</v>
      </c>
    </row>
    <row r="7842" spans="9:10" x14ac:dyDescent="0.3">
      <c r="I7842" s="72">
        <v>3920</v>
      </c>
      <c r="J7842" s="70">
        <v>1</v>
      </c>
    </row>
    <row r="7843" spans="9:10" x14ac:dyDescent="0.3">
      <c r="I7843" s="72">
        <v>3920.5</v>
      </c>
      <c r="J7843" s="70">
        <v>1</v>
      </c>
    </row>
    <row r="7844" spans="9:10" x14ac:dyDescent="0.3">
      <c r="I7844" s="72">
        <v>3921</v>
      </c>
      <c r="J7844" s="70">
        <v>1</v>
      </c>
    </row>
    <row r="7845" spans="9:10" x14ac:dyDescent="0.3">
      <c r="I7845" s="72">
        <v>3921.5</v>
      </c>
      <c r="J7845" s="70">
        <v>1</v>
      </c>
    </row>
    <row r="7846" spans="9:10" x14ac:dyDescent="0.3">
      <c r="I7846" s="72">
        <v>3922</v>
      </c>
      <c r="J7846" s="70">
        <v>1</v>
      </c>
    </row>
    <row r="7847" spans="9:10" x14ac:dyDescent="0.3">
      <c r="I7847" s="72">
        <v>3922.5</v>
      </c>
      <c r="J7847" s="70">
        <v>1</v>
      </c>
    </row>
    <row r="7848" spans="9:10" x14ac:dyDescent="0.3">
      <c r="I7848" s="72">
        <v>3923</v>
      </c>
      <c r="J7848" s="70">
        <v>1</v>
      </c>
    </row>
    <row r="7849" spans="9:10" x14ac:dyDescent="0.3">
      <c r="I7849" s="72">
        <v>3923.5</v>
      </c>
      <c r="J7849" s="70">
        <v>1</v>
      </c>
    </row>
    <row r="7850" spans="9:10" x14ac:dyDescent="0.3">
      <c r="I7850" s="72">
        <v>3924</v>
      </c>
      <c r="J7850" s="70">
        <v>1</v>
      </c>
    </row>
    <row r="7851" spans="9:10" x14ac:dyDescent="0.3">
      <c r="I7851" s="72">
        <v>3924.5</v>
      </c>
      <c r="J7851" s="70">
        <v>1</v>
      </c>
    </row>
    <row r="7852" spans="9:10" x14ac:dyDescent="0.3">
      <c r="I7852" s="72">
        <v>3925</v>
      </c>
      <c r="J7852" s="70">
        <v>1</v>
      </c>
    </row>
    <row r="7853" spans="9:10" x14ac:dyDescent="0.3">
      <c r="I7853" s="72">
        <v>3925.5</v>
      </c>
      <c r="J7853" s="70">
        <v>1</v>
      </c>
    </row>
    <row r="7854" spans="9:10" x14ac:dyDescent="0.3">
      <c r="I7854" s="72">
        <v>3926</v>
      </c>
      <c r="J7854" s="70">
        <v>1</v>
      </c>
    </row>
    <row r="7855" spans="9:10" x14ac:dyDescent="0.3">
      <c r="I7855" s="72">
        <v>3926.5</v>
      </c>
      <c r="J7855" s="70">
        <v>1</v>
      </c>
    </row>
    <row r="7856" spans="9:10" x14ac:dyDescent="0.3">
      <c r="I7856" s="72">
        <v>3927</v>
      </c>
      <c r="J7856" s="70">
        <v>1</v>
      </c>
    </row>
    <row r="7857" spans="9:10" x14ac:dyDescent="0.3">
      <c r="I7857" s="72">
        <v>3927.5</v>
      </c>
      <c r="J7857" s="70">
        <v>1</v>
      </c>
    </row>
    <row r="7858" spans="9:10" x14ac:dyDescent="0.3">
      <c r="I7858" s="72">
        <v>3928</v>
      </c>
      <c r="J7858" s="70">
        <v>1</v>
      </c>
    </row>
    <row r="7859" spans="9:10" x14ac:dyDescent="0.3">
      <c r="I7859" s="72">
        <v>3928.5</v>
      </c>
      <c r="J7859" s="70">
        <v>1</v>
      </c>
    </row>
    <row r="7860" spans="9:10" x14ac:dyDescent="0.3">
      <c r="I7860" s="72">
        <v>3929</v>
      </c>
      <c r="J7860" s="70">
        <v>1</v>
      </c>
    </row>
    <row r="7861" spans="9:10" x14ac:dyDescent="0.3">
      <c r="I7861" s="72">
        <v>3929.5</v>
      </c>
      <c r="J7861" s="70">
        <v>1</v>
      </c>
    </row>
    <row r="7862" spans="9:10" x14ac:dyDescent="0.3">
      <c r="I7862" s="72">
        <v>3930</v>
      </c>
      <c r="J7862" s="70">
        <v>1</v>
      </c>
    </row>
    <row r="7863" spans="9:10" x14ac:dyDescent="0.3">
      <c r="I7863" s="72">
        <v>3930.5</v>
      </c>
      <c r="J7863" s="70">
        <v>1</v>
      </c>
    </row>
    <row r="7864" spans="9:10" x14ac:dyDescent="0.3">
      <c r="I7864" s="72">
        <v>3931</v>
      </c>
      <c r="J7864" s="70">
        <v>1</v>
      </c>
    </row>
    <row r="7865" spans="9:10" x14ac:dyDescent="0.3">
      <c r="I7865" s="72">
        <v>3931.5</v>
      </c>
      <c r="J7865" s="70">
        <v>1</v>
      </c>
    </row>
    <row r="7866" spans="9:10" x14ac:dyDescent="0.3">
      <c r="I7866" s="72">
        <v>3932</v>
      </c>
      <c r="J7866" s="70">
        <v>1</v>
      </c>
    </row>
    <row r="7867" spans="9:10" x14ac:dyDescent="0.3">
      <c r="I7867" s="72">
        <v>3932.5</v>
      </c>
      <c r="J7867" s="70">
        <v>1</v>
      </c>
    </row>
    <row r="7868" spans="9:10" x14ac:dyDescent="0.3">
      <c r="I7868" s="72">
        <v>3933</v>
      </c>
      <c r="J7868" s="70">
        <v>1</v>
      </c>
    </row>
    <row r="7869" spans="9:10" x14ac:dyDescent="0.3">
      <c r="I7869" s="72">
        <v>3933.5</v>
      </c>
      <c r="J7869" s="70">
        <v>1</v>
      </c>
    </row>
    <row r="7870" spans="9:10" x14ac:dyDescent="0.3">
      <c r="I7870" s="72">
        <v>3934</v>
      </c>
      <c r="J7870" s="70">
        <v>1</v>
      </c>
    </row>
    <row r="7871" spans="9:10" x14ac:dyDescent="0.3">
      <c r="I7871" s="72">
        <v>3934.5</v>
      </c>
      <c r="J7871" s="70">
        <v>1</v>
      </c>
    </row>
    <row r="7872" spans="9:10" x14ac:dyDescent="0.3">
      <c r="I7872" s="72">
        <v>3935</v>
      </c>
      <c r="J7872" s="70">
        <v>1</v>
      </c>
    </row>
    <row r="7873" spans="9:10" x14ac:dyDescent="0.3">
      <c r="I7873" s="72">
        <v>3935.5</v>
      </c>
      <c r="J7873" s="70">
        <v>1</v>
      </c>
    </row>
    <row r="7874" spans="9:10" x14ac:dyDescent="0.3">
      <c r="I7874" s="72">
        <v>3936</v>
      </c>
      <c r="J7874" s="70">
        <v>1</v>
      </c>
    </row>
    <row r="7875" spans="9:10" x14ac:dyDescent="0.3">
      <c r="I7875" s="72">
        <v>3936.5</v>
      </c>
      <c r="J7875" s="70">
        <v>1</v>
      </c>
    </row>
    <row r="7876" spans="9:10" x14ac:dyDescent="0.3">
      <c r="I7876" s="72">
        <v>3937</v>
      </c>
      <c r="J7876" s="70">
        <v>1</v>
      </c>
    </row>
    <row r="7877" spans="9:10" x14ac:dyDescent="0.3">
      <c r="I7877" s="72">
        <v>3937.5</v>
      </c>
      <c r="J7877" s="70">
        <v>1</v>
      </c>
    </row>
    <row r="7878" spans="9:10" x14ac:dyDescent="0.3">
      <c r="I7878" s="72">
        <v>3938</v>
      </c>
      <c r="J7878" s="70">
        <v>1</v>
      </c>
    </row>
    <row r="7879" spans="9:10" x14ac:dyDescent="0.3">
      <c r="I7879" s="72">
        <v>3938.5</v>
      </c>
      <c r="J7879" s="70">
        <v>1</v>
      </c>
    </row>
    <row r="7880" spans="9:10" x14ac:dyDescent="0.3">
      <c r="I7880" s="72">
        <v>3939</v>
      </c>
      <c r="J7880" s="70">
        <v>1</v>
      </c>
    </row>
    <row r="7881" spans="9:10" x14ac:dyDescent="0.3">
      <c r="I7881" s="72">
        <v>3939.5</v>
      </c>
      <c r="J7881" s="70">
        <v>1</v>
      </c>
    </row>
    <row r="7882" spans="9:10" x14ac:dyDescent="0.3">
      <c r="I7882" s="72">
        <v>3940</v>
      </c>
      <c r="J7882" s="70">
        <v>1</v>
      </c>
    </row>
    <row r="7883" spans="9:10" x14ac:dyDescent="0.3">
      <c r="I7883" s="72">
        <v>3940.5</v>
      </c>
      <c r="J7883" s="70">
        <v>1</v>
      </c>
    </row>
    <row r="7884" spans="9:10" x14ac:dyDescent="0.3">
      <c r="I7884" s="72">
        <v>3941</v>
      </c>
      <c r="J7884" s="70">
        <v>1</v>
      </c>
    </row>
    <row r="7885" spans="9:10" x14ac:dyDescent="0.3">
      <c r="I7885" s="72">
        <v>3941.5</v>
      </c>
      <c r="J7885" s="70">
        <v>1</v>
      </c>
    </row>
    <row r="7886" spans="9:10" x14ac:dyDescent="0.3">
      <c r="I7886" s="72">
        <v>3942</v>
      </c>
      <c r="J7886" s="70">
        <v>1</v>
      </c>
    </row>
    <row r="7887" spans="9:10" x14ac:dyDescent="0.3">
      <c r="I7887" s="72">
        <v>3942.5</v>
      </c>
      <c r="J7887" s="70">
        <v>1</v>
      </c>
    </row>
    <row r="7888" spans="9:10" x14ac:dyDescent="0.3">
      <c r="I7888" s="72">
        <v>3943</v>
      </c>
      <c r="J7888" s="70">
        <v>1</v>
      </c>
    </row>
    <row r="7889" spans="9:10" x14ac:dyDescent="0.3">
      <c r="I7889" s="72">
        <v>3943.5</v>
      </c>
      <c r="J7889" s="70">
        <v>1</v>
      </c>
    </row>
    <row r="7890" spans="9:10" x14ac:dyDescent="0.3">
      <c r="I7890" s="72">
        <v>3944</v>
      </c>
      <c r="J7890" s="70">
        <v>1</v>
      </c>
    </row>
    <row r="7891" spans="9:10" x14ac:dyDescent="0.3">
      <c r="I7891" s="72">
        <v>3944.5</v>
      </c>
      <c r="J7891" s="70">
        <v>1</v>
      </c>
    </row>
    <row r="7892" spans="9:10" x14ac:dyDescent="0.3">
      <c r="I7892" s="72">
        <v>3945</v>
      </c>
      <c r="J7892" s="70">
        <v>1</v>
      </c>
    </row>
    <row r="7893" spans="9:10" x14ac:dyDescent="0.3">
      <c r="I7893" s="72">
        <v>3945.5</v>
      </c>
      <c r="J7893" s="70">
        <v>1</v>
      </c>
    </row>
    <row r="7894" spans="9:10" x14ac:dyDescent="0.3">
      <c r="I7894" s="72">
        <v>3946</v>
      </c>
      <c r="J7894" s="70">
        <v>1</v>
      </c>
    </row>
    <row r="7895" spans="9:10" x14ac:dyDescent="0.3">
      <c r="I7895" s="72">
        <v>3946.5</v>
      </c>
      <c r="J7895" s="70">
        <v>1</v>
      </c>
    </row>
    <row r="7896" spans="9:10" x14ac:dyDescent="0.3">
      <c r="I7896" s="72">
        <v>3947</v>
      </c>
      <c r="J7896" s="70">
        <v>1</v>
      </c>
    </row>
    <row r="7897" spans="9:10" x14ac:dyDescent="0.3">
      <c r="I7897" s="72">
        <v>3947.5</v>
      </c>
      <c r="J7897" s="70">
        <v>1</v>
      </c>
    </row>
    <row r="7898" spans="9:10" x14ac:dyDescent="0.3">
      <c r="I7898" s="72">
        <v>3948</v>
      </c>
      <c r="J7898" s="70">
        <v>1</v>
      </c>
    </row>
    <row r="7899" spans="9:10" x14ac:dyDescent="0.3">
      <c r="I7899" s="72">
        <v>3948.5</v>
      </c>
      <c r="J7899" s="70">
        <v>1</v>
      </c>
    </row>
    <row r="7900" spans="9:10" x14ac:dyDescent="0.3">
      <c r="I7900" s="72">
        <v>3949</v>
      </c>
      <c r="J7900" s="70">
        <v>1</v>
      </c>
    </row>
    <row r="7901" spans="9:10" x14ac:dyDescent="0.3">
      <c r="I7901" s="72">
        <v>3949.5</v>
      </c>
      <c r="J7901" s="70">
        <v>1</v>
      </c>
    </row>
    <row r="7902" spans="9:10" x14ac:dyDescent="0.3">
      <c r="I7902" s="72">
        <v>3950</v>
      </c>
      <c r="J7902" s="70">
        <v>1</v>
      </c>
    </row>
    <row r="7903" spans="9:10" x14ac:dyDescent="0.3">
      <c r="I7903" s="72">
        <v>3950.5</v>
      </c>
      <c r="J7903" s="70">
        <v>1</v>
      </c>
    </row>
    <row r="7904" spans="9:10" x14ac:dyDescent="0.3">
      <c r="I7904" s="72">
        <v>3951</v>
      </c>
      <c r="J7904" s="70">
        <v>1</v>
      </c>
    </row>
    <row r="7905" spans="9:10" x14ac:dyDescent="0.3">
      <c r="I7905" s="72">
        <v>3951.5</v>
      </c>
      <c r="J7905" s="70">
        <v>1</v>
      </c>
    </row>
    <row r="7906" spans="9:10" x14ac:dyDescent="0.3">
      <c r="I7906" s="72">
        <v>3952</v>
      </c>
      <c r="J7906" s="70">
        <v>1</v>
      </c>
    </row>
    <row r="7907" spans="9:10" x14ac:dyDescent="0.3">
      <c r="I7907" s="72">
        <v>3952.5</v>
      </c>
      <c r="J7907" s="70">
        <v>1</v>
      </c>
    </row>
    <row r="7908" spans="9:10" x14ac:dyDescent="0.3">
      <c r="I7908" s="72">
        <v>3953</v>
      </c>
      <c r="J7908" s="70">
        <v>1</v>
      </c>
    </row>
    <row r="7909" spans="9:10" x14ac:dyDescent="0.3">
      <c r="I7909" s="72">
        <v>3953.5</v>
      </c>
      <c r="J7909" s="70">
        <v>1</v>
      </c>
    </row>
    <row r="7910" spans="9:10" x14ac:dyDescent="0.3">
      <c r="I7910" s="72">
        <v>3954</v>
      </c>
      <c r="J7910" s="70">
        <v>1</v>
      </c>
    </row>
    <row r="7911" spans="9:10" x14ac:dyDescent="0.3">
      <c r="I7911" s="72">
        <v>3954.5</v>
      </c>
      <c r="J7911" s="70">
        <v>1</v>
      </c>
    </row>
    <row r="7912" spans="9:10" x14ac:dyDescent="0.3">
      <c r="I7912" s="72">
        <v>3955</v>
      </c>
      <c r="J7912" s="70">
        <v>1</v>
      </c>
    </row>
    <row r="7913" spans="9:10" x14ac:dyDescent="0.3">
      <c r="I7913" s="72">
        <v>3955.5</v>
      </c>
      <c r="J7913" s="70">
        <v>1</v>
      </c>
    </row>
    <row r="7914" spans="9:10" x14ac:dyDescent="0.3">
      <c r="I7914" s="72">
        <v>3956</v>
      </c>
      <c r="J7914" s="70">
        <v>1</v>
      </c>
    </row>
    <row r="7915" spans="9:10" x14ac:dyDescent="0.3">
      <c r="I7915" s="72">
        <v>3956.5</v>
      </c>
      <c r="J7915" s="70">
        <v>1</v>
      </c>
    </row>
    <row r="7916" spans="9:10" x14ac:dyDescent="0.3">
      <c r="I7916" s="72">
        <v>3957</v>
      </c>
      <c r="J7916" s="70">
        <v>1</v>
      </c>
    </row>
    <row r="7917" spans="9:10" x14ac:dyDescent="0.3">
      <c r="I7917" s="72">
        <v>3957.5</v>
      </c>
      <c r="J7917" s="70">
        <v>1</v>
      </c>
    </row>
    <row r="7918" spans="9:10" x14ac:dyDescent="0.3">
      <c r="I7918" s="72">
        <v>3958</v>
      </c>
      <c r="J7918" s="70">
        <v>1</v>
      </c>
    </row>
    <row r="7919" spans="9:10" x14ac:dyDescent="0.3">
      <c r="I7919" s="72">
        <v>3958.5</v>
      </c>
      <c r="J7919" s="70">
        <v>1</v>
      </c>
    </row>
    <row r="7920" spans="9:10" x14ac:dyDescent="0.3">
      <c r="I7920" s="72">
        <v>3959</v>
      </c>
      <c r="J7920" s="70">
        <v>1</v>
      </c>
    </row>
    <row r="7921" spans="9:10" x14ac:dyDescent="0.3">
      <c r="I7921" s="72">
        <v>3959.5</v>
      </c>
      <c r="J7921" s="70">
        <v>1</v>
      </c>
    </row>
    <row r="7922" spans="9:10" x14ac:dyDescent="0.3">
      <c r="I7922" s="72">
        <v>3960</v>
      </c>
      <c r="J7922" s="70">
        <v>1</v>
      </c>
    </row>
    <row r="7923" spans="9:10" x14ac:dyDescent="0.3">
      <c r="I7923" s="72">
        <v>3960.5</v>
      </c>
      <c r="J7923" s="70">
        <v>1</v>
      </c>
    </row>
    <row r="7924" spans="9:10" x14ac:dyDescent="0.3">
      <c r="I7924" s="72">
        <v>3961</v>
      </c>
      <c r="J7924" s="70">
        <v>1</v>
      </c>
    </row>
    <row r="7925" spans="9:10" x14ac:dyDescent="0.3">
      <c r="I7925" s="72">
        <v>3961.5</v>
      </c>
      <c r="J7925" s="70">
        <v>1</v>
      </c>
    </row>
    <row r="7926" spans="9:10" x14ac:dyDescent="0.3">
      <c r="I7926" s="72">
        <v>3962</v>
      </c>
      <c r="J7926" s="70">
        <v>1</v>
      </c>
    </row>
    <row r="7927" spans="9:10" x14ac:dyDescent="0.3">
      <c r="I7927" s="72">
        <v>3962.5</v>
      </c>
      <c r="J7927" s="70">
        <v>1</v>
      </c>
    </row>
    <row r="7928" spans="9:10" x14ac:dyDescent="0.3">
      <c r="I7928" s="72">
        <v>3963</v>
      </c>
      <c r="J7928" s="70">
        <v>1</v>
      </c>
    </row>
    <row r="7929" spans="9:10" x14ac:dyDescent="0.3">
      <c r="I7929" s="72">
        <v>3963.5</v>
      </c>
      <c r="J7929" s="70">
        <v>1</v>
      </c>
    </row>
    <row r="7930" spans="9:10" x14ac:dyDescent="0.3">
      <c r="I7930" s="72">
        <v>3964</v>
      </c>
      <c r="J7930" s="70">
        <v>1</v>
      </c>
    </row>
    <row r="7931" spans="9:10" x14ac:dyDescent="0.3">
      <c r="I7931" s="72">
        <v>3964.5</v>
      </c>
      <c r="J7931" s="70">
        <v>1</v>
      </c>
    </row>
    <row r="7932" spans="9:10" x14ac:dyDescent="0.3">
      <c r="I7932" s="72">
        <v>3965</v>
      </c>
      <c r="J7932" s="70">
        <v>1</v>
      </c>
    </row>
    <row r="7933" spans="9:10" x14ac:dyDescent="0.3">
      <c r="I7933" s="72">
        <v>3965.5</v>
      </c>
      <c r="J7933" s="70">
        <v>1</v>
      </c>
    </row>
    <row r="7934" spans="9:10" x14ac:dyDescent="0.3">
      <c r="I7934" s="72">
        <v>3966</v>
      </c>
      <c r="J7934" s="70">
        <v>1</v>
      </c>
    </row>
    <row r="7935" spans="9:10" x14ac:dyDescent="0.3">
      <c r="I7935" s="72">
        <v>3966.5</v>
      </c>
      <c r="J7935" s="70">
        <v>1</v>
      </c>
    </row>
    <row r="7936" spans="9:10" x14ac:dyDescent="0.3">
      <c r="I7936" s="72">
        <v>3967</v>
      </c>
      <c r="J7936" s="70">
        <v>1</v>
      </c>
    </row>
    <row r="7937" spans="9:10" x14ac:dyDescent="0.3">
      <c r="I7937" s="72">
        <v>3967.5</v>
      </c>
      <c r="J7937" s="70">
        <v>1</v>
      </c>
    </row>
    <row r="7938" spans="9:10" x14ac:dyDescent="0.3">
      <c r="I7938" s="72">
        <v>3968</v>
      </c>
      <c r="J7938" s="70">
        <v>1</v>
      </c>
    </row>
    <row r="7939" spans="9:10" x14ac:dyDescent="0.3">
      <c r="I7939" s="72">
        <v>3968.5</v>
      </c>
      <c r="J7939" s="70">
        <v>1</v>
      </c>
    </row>
    <row r="7940" spans="9:10" x14ac:dyDescent="0.3">
      <c r="I7940" s="72">
        <v>3969</v>
      </c>
      <c r="J7940" s="70">
        <v>1</v>
      </c>
    </row>
    <row r="7941" spans="9:10" x14ac:dyDescent="0.3">
      <c r="I7941" s="72">
        <v>3969.5</v>
      </c>
      <c r="J7941" s="70">
        <v>1</v>
      </c>
    </row>
    <row r="7942" spans="9:10" x14ac:dyDescent="0.3">
      <c r="I7942" s="72">
        <v>3970</v>
      </c>
      <c r="J7942" s="70">
        <v>1</v>
      </c>
    </row>
    <row r="7943" spans="9:10" x14ac:dyDescent="0.3">
      <c r="I7943" s="72">
        <v>3970.5</v>
      </c>
      <c r="J7943" s="70">
        <v>1</v>
      </c>
    </row>
    <row r="7944" spans="9:10" x14ac:dyDescent="0.3">
      <c r="I7944" s="72">
        <v>3971</v>
      </c>
      <c r="J7944" s="70">
        <v>1</v>
      </c>
    </row>
    <row r="7945" spans="9:10" x14ac:dyDescent="0.3">
      <c r="I7945" s="72">
        <v>3971.5</v>
      </c>
      <c r="J7945" s="70">
        <v>1</v>
      </c>
    </row>
    <row r="7946" spans="9:10" x14ac:dyDescent="0.3">
      <c r="I7946" s="72">
        <v>3972</v>
      </c>
      <c r="J7946" s="70">
        <v>1</v>
      </c>
    </row>
    <row r="7947" spans="9:10" x14ac:dyDescent="0.3">
      <c r="I7947" s="72">
        <v>3972.5</v>
      </c>
      <c r="J7947" s="70">
        <v>1</v>
      </c>
    </row>
    <row r="7948" spans="9:10" x14ac:dyDescent="0.3">
      <c r="I7948" s="72">
        <v>3973</v>
      </c>
      <c r="J7948" s="70">
        <v>1</v>
      </c>
    </row>
    <row r="7949" spans="9:10" x14ac:dyDescent="0.3">
      <c r="I7949" s="72">
        <v>3973.5</v>
      </c>
      <c r="J7949" s="70">
        <v>1</v>
      </c>
    </row>
    <row r="7950" spans="9:10" x14ac:dyDescent="0.3">
      <c r="I7950" s="72">
        <v>3974</v>
      </c>
      <c r="J7950" s="70">
        <v>1</v>
      </c>
    </row>
    <row r="7951" spans="9:10" x14ac:dyDescent="0.3">
      <c r="I7951" s="72">
        <v>3974.5</v>
      </c>
      <c r="J7951" s="70">
        <v>1</v>
      </c>
    </row>
    <row r="7952" spans="9:10" x14ac:dyDescent="0.3">
      <c r="I7952" s="72">
        <v>3975</v>
      </c>
      <c r="J7952" s="70">
        <v>1</v>
      </c>
    </row>
    <row r="7953" spans="9:10" x14ac:dyDescent="0.3">
      <c r="I7953" s="72">
        <v>3975.5</v>
      </c>
      <c r="J7953" s="70">
        <v>1</v>
      </c>
    </row>
    <row r="7954" spans="9:10" x14ac:dyDescent="0.3">
      <c r="I7954" s="72">
        <v>3976</v>
      </c>
      <c r="J7954" s="70">
        <v>1</v>
      </c>
    </row>
    <row r="7955" spans="9:10" x14ac:dyDescent="0.3">
      <c r="I7955" s="72">
        <v>3976.5</v>
      </c>
      <c r="J7955" s="70">
        <v>1</v>
      </c>
    </row>
    <row r="7956" spans="9:10" x14ac:dyDescent="0.3">
      <c r="I7956" s="72">
        <v>3977</v>
      </c>
      <c r="J7956" s="70">
        <v>1</v>
      </c>
    </row>
    <row r="7957" spans="9:10" x14ac:dyDescent="0.3">
      <c r="I7957" s="72">
        <v>3977.5</v>
      </c>
      <c r="J7957" s="70">
        <v>1</v>
      </c>
    </row>
    <row r="7958" spans="9:10" x14ac:dyDescent="0.3">
      <c r="I7958" s="72">
        <v>3978</v>
      </c>
      <c r="J7958" s="70">
        <v>1</v>
      </c>
    </row>
    <row r="7959" spans="9:10" x14ac:dyDescent="0.3">
      <c r="I7959" s="72">
        <v>3978.5</v>
      </c>
      <c r="J7959" s="70">
        <v>1</v>
      </c>
    </row>
    <row r="7960" spans="9:10" x14ac:dyDescent="0.3">
      <c r="I7960" s="72">
        <v>3979</v>
      </c>
      <c r="J7960" s="70">
        <v>1</v>
      </c>
    </row>
    <row r="7961" spans="9:10" x14ac:dyDescent="0.3">
      <c r="I7961" s="72">
        <v>3979.5</v>
      </c>
      <c r="J7961" s="70">
        <v>1</v>
      </c>
    </row>
    <row r="7962" spans="9:10" x14ac:dyDescent="0.3">
      <c r="I7962" s="72">
        <v>3980</v>
      </c>
      <c r="J7962" s="70">
        <v>1</v>
      </c>
    </row>
    <row r="7963" spans="9:10" x14ac:dyDescent="0.3">
      <c r="I7963" s="72">
        <v>3980.5</v>
      </c>
      <c r="J7963" s="70">
        <v>1</v>
      </c>
    </row>
    <row r="7964" spans="9:10" x14ac:dyDescent="0.3">
      <c r="I7964" s="72">
        <v>3981</v>
      </c>
      <c r="J7964" s="70">
        <v>1</v>
      </c>
    </row>
    <row r="7965" spans="9:10" x14ac:dyDescent="0.3">
      <c r="I7965" s="72">
        <v>3981.5</v>
      </c>
      <c r="J7965" s="70">
        <v>1</v>
      </c>
    </row>
    <row r="7966" spans="9:10" x14ac:dyDescent="0.3">
      <c r="I7966" s="72">
        <v>3982</v>
      </c>
      <c r="J7966" s="70">
        <v>1</v>
      </c>
    </row>
    <row r="7967" spans="9:10" x14ac:dyDescent="0.3">
      <c r="I7967" s="72">
        <v>3982.5</v>
      </c>
      <c r="J7967" s="70">
        <v>1</v>
      </c>
    </row>
    <row r="7968" spans="9:10" x14ac:dyDescent="0.3">
      <c r="I7968" s="72">
        <v>3983</v>
      </c>
      <c r="J7968" s="70">
        <v>1</v>
      </c>
    </row>
    <row r="7969" spans="9:10" x14ac:dyDescent="0.3">
      <c r="I7969" s="72">
        <v>3983.5</v>
      </c>
      <c r="J7969" s="70">
        <v>1</v>
      </c>
    </row>
    <row r="7970" spans="9:10" x14ac:dyDescent="0.3">
      <c r="I7970" s="72">
        <v>3984</v>
      </c>
      <c r="J7970" s="70">
        <v>1</v>
      </c>
    </row>
    <row r="7971" spans="9:10" x14ac:dyDescent="0.3">
      <c r="I7971" s="72">
        <v>3984.5</v>
      </c>
      <c r="J7971" s="70">
        <v>1</v>
      </c>
    </row>
    <row r="7972" spans="9:10" x14ac:dyDescent="0.3">
      <c r="I7972" s="72">
        <v>3985</v>
      </c>
      <c r="J7972" s="70">
        <v>1</v>
      </c>
    </row>
    <row r="7973" spans="9:10" x14ac:dyDescent="0.3">
      <c r="I7973" s="72">
        <v>3985.5</v>
      </c>
      <c r="J7973" s="70">
        <v>1</v>
      </c>
    </row>
    <row r="7974" spans="9:10" x14ac:dyDescent="0.3">
      <c r="I7974" s="72">
        <v>3986</v>
      </c>
      <c r="J7974" s="70">
        <v>1</v>
      </c>
    </row>
    <row r="7975" spans="9:10" x14ac:dyDescent="0.3">
      <c r="I7975" s="72">
        <v>3986.5</v>
      </c>
      <c r="J7975" s="70">
        <v>1</v>
      </c>
    </row>
    <row r="7976" spans="9:10" x14ac:dyDescent="0.3">
      <c r="I7976" s="72">
        <v>3987</v>
      </c>
      <c r="J7976" s="70">
        <v>1</v>
      </c>
    </row>
    <row r="7977" spans="9:10" x14ac:dyDescent="0.3">
      <c r="I7977" s="72">
        <v>3987.5</v>
      </c>
      <c r="J7977" s="70">
        <v>1</v>
      </c>
    </row>
    <row r="7978" spans="9:10" x14ac:dyDescent="0.3">
      <c r="I7978" s="72">
        <v>3988</v>
      </c>
      <c r="J7978" s="70">
        <v>1</v>
      </c>
    </row>
    <row r="7979" spans="9:10" x14ac:dyDescent="0.3">
      <c r="I7979" s="72">
        <v>3988.5</v>
      </c>
      <c r="J7979" s="70">
        <v>1</v>
      </c>
    </row>
    <row r="7980" spans="9:10" x14ac:dyDescent="0.3">
      <c r="I7980" s="72">
        <v>3989</v>
      </c>
      <c r="J7980" s="70">
        <v>1</v>
      </c>
    </row>
    <row r="7981" spans="9:10" x14ac:dyDescent="0.3">
      <c r="I7981" s="72">
        <v>3989.5</v>
      </c>
      <c r="J7981" s="70">
        <v>1</v>
      </c>
    </row>
    <row r="7982" spans="9:10" x14ac:dyDescent="0.3">
      <c r="I7982" s="72">
        <v>3990</v>
      </c>
      <c r="J7982" s="70">
        <v>1</v>
      </c>
    </row>
    <row r="7983" spans="9:10" x14ac:dyDescent="0.3">
      <c r="I7983" s="72">
        <v>3990.5</v>
      </c>
      <c r="J7983" s="70">
        <v>1</v>
      </c>
    </row>
    <row r="7984" spans="9:10" x14ac:dyDescent="0.3">
      <c r="I7984" s="72">
        <v>3991</v>
      </c>
      <c r="J7984" s="70">
        <v>1</v>
      </c>
    </row>
    <row r="7985" spans="9:10" x14ac:dyDescent="0.3">
      <c r="I7985" s="72">
        <v>3991.5</v>
      </c>
      <c r="J7985" s="70">
        <v>1</v>
      </c>
    </row>
    <row r="7986" spans="9:10" x14ac:dyDescent="0.3">
      <c r="I7986" s="72">
        <v>3992</v>
      </c>
      <c r="J7986" s="70">
        <v>1</v>
      </c>
    </row>
    <row r="7987" spans="9:10" x14ac:dyDescent="0.3">
      <c r="I7987" s="72">
        <v>3992.5</v>
      </c>
      <c r="J7987" s="70">
        <v>1</v>
      </c>
    </row>
    <row r="7988" spans="9:10" x14ac:dyDescent="0.3">
      <c r="I7988" s="72">
        <v>3993</v>
      </c>
      <c r="J7988" s="70">
        <v>1</v>
      </c>
    </row>
    <row r="7989" spans="9:10" x14ac:dyDescent="0.3">
      <c r="I7989" s="72">
        <v>3993.5</v>
      </c>
      <c r="J7989" s="70">
        <v>1</v>
      </c>
    </row>
    <row r="7990" spans="9:10" x14ac:dyDescent="0.3">
      <c r="I7990" s="72">
        <v>3994</v>
      </c>
      <c r="J7990" s="70">
        <v>1</v>
      </c>
    </row>
    <row r="7991" spans="9:10" x14ac:dyDescent="0.3">
      <c r="I7991" s="72">
        <v>3994.5</v>
      </c>
      <c r="J7991" s="70">
        <v>1</v>
      </c>
    </row>
    <row r="7992" spans="9:10" x14ac:dyDescent="0.3">
      <c r="I7992" s="72">
        <v>3995</v>
      </c>
      <c r="J7992" s="70">
        <v>1</v>
      </c>
    </row>
    <row r="7993" spans="9:10" x14ac:dyDescent="0.3">
      <c r="I7993" s="72">
        <v>3995.5</v>
      </c>
      <c r="J7993" s="70">
        <v>1</v>
      </c>
    </row>
    <row r="7994" spans="9:10" x14ac:dyDescent="0.3">
      <c r="I7994" s="72">
        <v>3996</v>
      </c>
      <c r="J7994" s="70">
        <v>1</v>
      </c>
    </row>
    <row r="7995" spans="9:10" x14ac:dyDescent="0.3">
      <c r="I7995" s="72">
        <v>3996.5</v>
      </c>
      <c r="J7995" s="70">
        <v>1</v>
      </c>
    </row>
    <row r="7996" spans="9:10" x14ac:dyDescent="0.3">
      <c r="I7996" s="72">
        <v>3997</v>
      </c>
      <c r="J7996" s="70">
        <v>1</v>
      </c>
    </row>
    <row r="7997" spans="9:10" x14ac:dyDescent="0.3">
      <c r="I7997" s="72">
        <v>3997.5</v>
      </c>
      <c r="J7997" s="70">
        <v>1</v>
      </c>
    </row>
    <row r="7998" spans="9:10" x14ac:dyDescent="0.3">
      <c r="I7998" s="72">
        <v>3998</v>
      </c>
      <c r="J7998" s="70">
        <v>1</v>
      </c>
    </row>
    <row r="7999" spans="9:10" x14ac:dyDescent="0.3">
      <c r="I7999" s="72">
        <v>3998.5</v>
      </c>
      <c r="J7999" s="70">
        <v>1</v>
      </c>
    </row>
    <row r="8000" spans="9:10" x14ac:dyDescent="0.3">
      <c r="I8000" s="72">
        <v>3999</v>
      </c>
      <c r="J8000" s="70">
        <v>1</v>
      </c>
    </row>
    <row r="8001" spans="9:10" x14ac:dyDescent="0.3">
      <c r="I8001" s="72">
        <v>3999.5</v>
      </c>
      <c r="J8001" s="70">
        <v>1</v>
      </c>
    </row>
    <row r="8002" spans="9:10" x14ac:dyDescent="0.3">
      <c r="I8002" s="72">
        <v>4000</v>
      </c>
      <c r="J8002" s="70">
        <v>1</v>
      </c>
    </row>
    <row r="8003" spans="9:10" x14ac:dyDescent="0.3">
      <c r="I8003" s="72">
        <v>4000.5</v>
      </c>
      <c r="J8003" s="70">
        <v>1</v>
      </c>
    </row>
    <row r="8004" spans="9:10" x14ac:dyDescent="0.3">
      <c r="I8004" s="72">
        <v>4001</v>
      </c>
      <c r="J8004" s="70">
        <v>1</v>
      </c>
    </row>
    <row r="8005" spans="9:10" x14ac:dyDescent="0.3">
      <c r="I8005" s="72">
        <v>4001.5</v>
      </c>
      <c r="J8005" s="70">
        <v>1</v>
      </c>
    </row>
    <row r="8006" spans="9:10" x14ac:dyDescent="0.3">
      <c r="I8006" s="72">
        <v>4002</v>
      </c>
      <c r="J8006" s="70">
        <v>1</v>
      </c>
    </row>
    <row r="8007" spans="9:10" x14ac:dyDescent="0.3">
      <c r="I8007" s="72">
        <v>4002.5</v>
      </c>
      <c r="J8007" s="70">
        <v>1</v>
      </c>
    </row>
    <row r="8008" spans="9:10" x14ac:dyDescent="0.3">
      <c r="I8008" s="72">
        <v>4003</v>
      </c>
      <c r="J8008" s="70">
        <v>1</v>
      </c>
    </row>
    <row r="8009" spans="9:10" x14ac:dyDescent="0.3">
      <c r="I8009" s="72">
        <v>4003.5</v>
      </c>
      <c r="J8009" s="70">
        <v>1</v>
      </c>
    </row>
    <row r="8010" spans="9:10" x14ac:dyDescent="0.3">
      <c r="I8010" s="72">
        <v>4004</v>
      </c>
      <c r="J8010" s="70">
        <v>1</v>
      </c>
    </row>
    <row r="8011" spans="9:10" x14ac:dyDescent="0.3">
      <c r="I8011" s="72">
        <v>4004.5</v>
      </c>
      <c r="J8011" s="70">
        <v>1</v>
      </c>
    </row>
    <row r="8012" spans="9:10" x14ac:dyDescent="0.3">
      <c r="I8012" s="72">
        <v>4005</v>
      </c>
      <c r="J8012" s="70">
        <v>1</v>
      </c>
    </row>
    <row r="8013" spans="9:10" x14ac:dyDescent="0.3">
      <c r="I8013" s="72">
        <v>4005.5</v>
      </c>
      <c r="J8013" s="70">
        <v>1</v>
      </c>
    </row>
    <row r="8014" spans="9:10" x14ac:dyDescent="0.3">
      <c r="I8014" s="72">
        <v>4006</v>
      </c>
      <c r="J8014" s="70">
        <v>1</v>
      </c>
    </row>
    <row r="8015" spans="9:10" x14ac:dyDescent="0.3">
      <c r="I8015" s="72">
        <v>4006.5</v>
      </c>
      <c r="J8015" s="70">
        <v>1</v>
      </c>
    </row>
    <row r="8016" spans="9:10" x14ac:dyDescent="0.3">
      <c r="I8016" s="72">
        <v>4007</v>
      </c>
      <c r="J8016" s="70">
        <v>1</v>
      </c>
    </row>
    <row r="8017" spans="9:10" x14ac:dyDescent="0.3">
      <c r="I8017" s="72">
        <v>4007.5</v>
      </c>
      <c r="J8017" s="70">
        <v>1</v>
      </c>
    </row>
    <row r="8018" spans="9:10" x14ac:dyDescent="0.3">
      <c r="I8018" s="72">
        <v>4008</v>
      </c>
      <c r="J8018" s="70">
        <v>1</v>
      </c>
    </row>
    <row r="8019" spans="9:10" x14ac:dyDescent="0.3">
      <c r="I8019" s="72">
        <v>4008.5</v>
      </c>
      <c r="J8019" s="70">
        <v>1</v>
      </c>
    </row>
    <row r="8020" spans="9:10" x14ac:dyDescent="0.3">
      <c r="I8020" s="72">
        <v>4009</v>
      </c>
      <c r="J8020" s="70">
        <v>1</v>
      </c>
    </row>
    <row r="8021" spans="9:10" x14ac:dyDescent="0.3">
      <c r="I8021" s="72">
        <v>4009.5</v>
      </c>
      <c r="J8021" s="70">
        <v>1</v>
      </c>
    </row>
    <row r="8022" spans="9:10" x14ac:dyDescent="0.3">
      <c r="I8022" s="72">
        <v>4010</v>
      </c>
      <c r="J8022" s="70">
        <v>1</v>
      </c>
    </row>
    <row r="8023" spans="9:10" x14ac:dyDescent="0.3">
      <c r="I8023" s="72">
        <v>4010.5</v>
      </c>
      <c r="J8023" s="70">
        <v>1</v>
      </c>
    </row>
    <row r="8024" spans="9:10" x14ac:dyDescent="0.3">
      <c r="I8024" s="72">
        <v>4011</v>
      </c>
      <c r="J8024" s="70">
        <v>1</v>
      </c>
    </row>
    <row r="8025" spans="9:10" x14ac:dyDescent="0.3">
      <c r="I8025" s="72">
        <v>4011.5</v>
      </c>
      <c r="J8025" s="70">
        <v>1</v>
      </c>
    </row>
    <row r="8026" spans="9:10" x14ac:dyDescent="0.3">
      <c r="I8026" s="72">
        <v>4012</v>
      </c>
      <c r="J8026" s="70">
        <v>1</v>
      </c>
    </row>
    <row r="8027" spans="9:10" x14ac:dyDescent="0.3">
      <c r="I8027" s="72">
        <v>4012.5</v>
      </c>
      <c r="J8027" s="70">
        <v>1</v>
      </c>
    </row>
    <row r="8028" spans="9:10" x14ac:dyDescent="0.3">
      <c r="I8028" s="72">
        <v>4013</v>
      </c>
      <c r="J8028" s="70">
        <v>1</v>
      </c>
    </row>
    <row r="8029" spans="9:10" x14ac:dyDescent="0.3">
      <c r="I8029" s="72">
        <v>4013.5</v>
      </c>
      <c r="J8029" s="70">
        <v>1</v>
      </c>
    </row>
    <row r="8030" spans="9:10" x14ac:dyDescent="0.3">
      <c r="I8030" s="72">
        <v>4014</v>
      </c>
      <c r="J8030" s="70">
        <v>1</v>
      </c>
    </row>
    <row r="8031" spans="9:10" x14ac:dyDescent="0.3">
      <c r="I8031" s="72">
        <v>4014.5</v>
      </c>
      <c r="J8031" s="70">
        <v>1</v>
      </c>
    </row>
    <row r="8032" spans="9:10" x14ac:dyDescent="0.3">
      <c r="I8032" s="72">
        <v>4015</v>
      </c>
      <c r="J8032" s="70">
        <v>1</v>
      </c>
    </row>
    <row r="8033" spans="9:10" x14ac:dyDescent="0.3">
      <c r="I8033" s="72">
        <v>4015.5</v>
      </c>
      <c r="J8033" s="70">
        <v>1</v>
      </c>
    </row>
    <row r="8034" spans="9:10" x14ac:dyDescent="0.3">
      <c r="I8034" s="72">
        <v>4016</v>
      </c>
      <c r="J8034" s="70">
        <v>1</v>
      </c>
    </row>
    <row r="8035" spans="9:10" x14ac:dyDescent="0.3">
      <c r="I8035" s="72">
        <v>4016.5</v>
      </c>
      <c r="J8035" s="70">
        <v>1</v>
      </c>
    </row>
    <row r="8036" spans="9:10" x14ac:dyDescent="0.3">
      <c r="I8036" s="72">
        <v>4017</v>
      </c>
      <c r="J8036" s="70">
        <v>1</v>
      </c>
    </row>
    <row r="8037" spans="9:10" x14ac:dyDescent="0.3">
      <c r="I8037" s="72">
        <v>4017.5</v>
      </c>
      <c r="J8037" s="70">
        <v>1</v>
      </c>
    </row>
    <row r="8038" spans="9:10" x14ac:dyDescent="0.3">
      <c r="I8038" s="72">
        <v>4018</v>
      </c>
      <c r="J8038" s="70">
        <v>1</v>
      </c>
    </row>
    <row r="8039" spans="9:10" x14ac:dyDescent="0.3">
      <c r="I8039" s="72">
        <v>4018.5</v>
      </c>
      <c r="J8039" s="70">
        <v>1</v>
      </c>
    </row>
    <row r="8040" spans="9:10" x14ac:dyDescent="0.3">
      <c r="I8040" s="72">
        <v>4019</v>
      </c>
      <c r="J8040" s="70">
        <v>1</v>
      </c>
    </row>
    <row r="8041" spans="9:10" x14ac:dyDescent="0.3">
      <c r="I8041" s="72">
        <v>4019.5</v>
      </c>
      <c r="J8041" s="70">
        <v>1</v>
      </c>
    </row>
    <row r="8042" spans="9:10" x14ac:dyDescent="0.3">
      <c r="I8042" s="72">
        <v>4020</v>
      </c>
      <c r="J8042" s="70">
        <v>1</v>
      </c>
    </row>
    <row r="8043" spans="9:10" x14ac:dyDescent="0.3">
      <c r="I8043" s="72">
        <v>4020.5</v>
      </c>
      <c r="J8043" s="70">
        <v>1</v>
      </c>
    </row>
    <row r="8044" spans="9:10" x14ac:dyDescent="0.3">
      <c r="I8044" s="72">
        <v>4021</v>
      </c>
      <c r="J8044" s="70">
        <v>1</v>
      </c>
    </row>
    <row r="8045" spans="9:10" x14ac:dyDescent="0.3">
      <c r="I8045" s="72">
        <v>4021.5</v>
      </c>
      <c r="J8045" s="70">
        <v>1</v>
      </c>
    </row>
    <row r="8046" spans="9:10" x14ac:dyDescent="0.3">
      <c r="I8046" s="72">
        <v>4022</v>
      </c>
      <c r="J8046" s="70">
        <v>1</v>
      </c>
    </row>
    <row r="8047" spans="9:10" x14ac:dyDescent="0.3">
      <c r="I8047" s="72">
        <v>4022.5</v>
      </c>
      <c r="J8047" s="70">
        <v>1</v>
      </c>
    </row>
    <row r="8048" spans="9:10" x14ac:dyDescent="0.3">
      <c r="I8048" s="72">
        <v>4023</v>
      </c>
      <c r="J8048" s="70">
        <v>1</v>
      </c>
    </row>
    <row r="8049" spans="9:10" x14ac:dyDescent="0.3">
      <c r="I8049" s="72">
        <v>4023.5</v>
      </c>
      <c r="J8049" s="70">
        <v>1</v>
      </c>
    </row>
    <row r="8050" spans="9:10" x14ac:dyDescent="0.3">
      <c r="I8050" s="72">
        <v>4024</v>
      </c>
      <c r="J8050" s="70">
        <v>1</v>
      </c>
    </row>
    <row r="8051" spans="9:10" x14ac:dyDescent="0.3">
      <c r="I8051" s="72">
        <v>4024.5</v>
      </c>
      <c r="J8051" s="70">
        <v>1</v>
      </c>
    </row>
    <row r="8052" spans="9:10" x14ac:dyDescent="0.3">
      <c r="I8052" s="72">
        <v>4025</v>
      </c>
      <c r="J8052" s="70">
        <v>1</v>
      </c>
    </row>
    <row r="8053" spans="9:10" x14ac:dyDescent="0.3">
      <c r="I8053" s="72">
        <v>4025.5</v>
      </c>
      <c r="J8053" s="70">
        <v>1</v>
      </c>
    </row>
    <row r="8054" spans="9:10" x14ac:dyDescent="0.3">
      <c r="I8054" s="72">
        <v>4026</v>
      </c>
      <c r="J8054" s="70">
        <v>1</v>
      </c>
    </row>
    <row r="8055" spans="9:10" x14ac:dyDescent="0.3">
      <c r="I8055" s="72">
        <v>4026.5</v>
      </c>
      <c r="J8055" s="70">
        <v>1</v>
      </c>
    </row>
    <row r="8056" spans="9:10" x14ac:dyDescent="0.3">
      <c r="I8056" s="72">
        <v>4027</v>
      </c>
      <c r="J8056" s="70">
        <v>1</v>
      </c>
    </row>
    <row r="8057" spans="9:10" x14ac:dyDescent="0.3">
      <c r="I8057" s="72">
        <v>4027.5</v>
      </c>
      <c r="J8057" s="70">
        <v>1</v>
      </c>
    </row>
    <row r="8058" spans="9:10" x14ac:dyDescent="0.3">
      <c r="I8058" s="72">
        <v>4028</v>
      </c>
      <c r="J8058" s="70">
        <v>1</v>
      </c>
    </row>
    <row r="8059" spans="9:10" x14ac:dyDescent="0.3">
      <c r="I8059" s="72">
        <v>4028.5</v>
      </c>
      <c r="J8059" s="70">
        <v>1</v>
      </c>
    </row>
    <row r="8060" spans="9:10" x14ac:dyDescent="0.3">
      <c r="I8060" s="72">
        <v>4029</v>
      </c>
      <c r="J8060" s="70">
        <v>1</v>
      </c>
    </row>
    <row r="8061" spans="9:10" x14ac:dyDescent="0.3">
      <c r="I8061" s="72">
        <v>4029.5</v>
      </c>
      <c r="J8061" s="70">
        <v>1</v>
      </c>
    </row>
    <row r="8062" spans="9:10" x14ac:dyDescent="0.3">
      <c r="I8062" s="72">
        <v>4030</v>
      </c>
      <c r="J8062" s="70">
        <v>1</v>
      </c>
    </row>
    <row r="8063" spans="9:10" x14ac:dyDescent="0.3">
      <c r="I8063" s="72">
        <v>4030.5</v>
      </c>
      <c r="J8063" s="70">
        <v>1</v>
      </c>
    </row>
    <row r="8064" spans="9:10" x14ac:dyDescent="0.3">
      <c r="I8064" s="72">
        <v>4031</v>
      </c>
      <c r="J8064" s="70">
        <v>1</v>
      </c>
    </row>
    <row r="8065" spans="9:10" x14ac:dyDescent="0.3">
      <c r="I8065" s="72">
        <v>4031.5</v>
      </c>
      <c r="J8065" s="70">
        <v>1</v>
      </c>
    </row>
    <row r="8066" spans="9:10" x14ac:dyDescent="0.3">
      <c r="I8066" s="72">
        <v>4032</v>
      </c>
      <c r="J8066" s="70">
        <v>1</v>
      </c>
    </row>
    <row r="8067" spans="9:10" x14ac:dyDescent="0.3">
      <c r="I8067" s="72">
        <v>4032.5</v>
      </c>
      <c r="J8067" s="70">
        <v>1</v>
      </c>
    </row>
    <row r="8068" spans="9:10" x14ac:dyDescent="0.3">
      <c r="I8068" s="72">
        <v>4033</v>
      </c>
      <c r="J8068" s="70">
        <v>1</v>
      </c>
    </row>
    <row r="8069" spans="9:10" x14ac:dyDescent="0.3">
      <c r="I8069" s="72">
        <v>4033.5</v>
      </c>
      <c r="J8069" s="70">
        <v>1</v>
      </c>
    </row>
    <row r="8070" spans="9:10" x14ac:dyDescent="0.3">
      <c r="I8070" s="72">
        <v>4034</v>
      </c>
      <c r="J8070" s="70">
        <v>1</v>
      </c>
    </row>
    <row r="8071" spans="9:10" x14ac:dyDescent="0.3">
      <c r="I8071" s="72">
        <v>4034.5</v>
      </c>
      <c r="J8071" s="70">
        <v>1</v>
      </c>
    </row>
    <row r="8072" spans="9:10" x14ac:dyDescent="0.3">
      <c r="I8072" s="72">
        <v>4035</v>
      </c>
      <c r="J8072" s="70">
        <v>1</v>
      </c>
    </row>
    <row r="8073" spans="9:10" x14ac:dyDescent="0.3">
      <c r="I8073" s="72">
        <v>4035.5</v>
      </c>
      <c r="J8073" s="70">
        <v>1</v>
      </c>
    </row>
    <row r="8074" spans="9:10" x14ac:dyDescent="0.3">
      <c r="I8074" s="72">
        <v>4036</v>
      </c>
      <c r="J8074" s="70">
        <v>1</v>
      </c>
    </row>
    <row r="8075" spans="9:10" x14ac:dyDescent="0.3">
      <c r="I8075" s="72">
        <v>4036.5</v>
      </c>
      <c r="J8075" s="70">
        <v>1</v>
      </c>
    </row>
    <row r="8076" spans="9:10" x14ac:dyDescent="0.3">
      <c r="I8076" s="72">
        <v>4037</v>
      </c>
      <c r="J8076" s="70">
        <v>1</v>
      </c>
    </row>
    <row r="8077" spans="9:10" x14ac:dyDescent="0.3">
      <c r="I8077" s="72">
        <v>4037.5</v>
      </c>
      <c r="J8077" s="70">
        <v>1</v>
      </c>
    </row>
    <row r="8078" spans="9:10" x14ac:dyDescent="0.3">
      <c r="I8078" s="72">
        <v>4038</v>
      </c>
      <c r="J8078" s="70">
        <v>1</v>
      </c>
    </row>
    <row r="8079" spans="9:10" x14ac:dyDescent="0.3">
      <c r="I8079" s="72">
        <v>4038.5</v>
      </c>
      <c r="J8079" s="70">
        <v>1</v>
      </c>
    </row>
    <row r="8080" spans="9:10" x14ac:dyDescent="0.3">
      <c r="I8080" s="72">
        <v>4039</v>
      </c>
      <c r="J8080" s="70">
        <v>1</v>
      </c>
    </row>
    <row r="8081" spans="9:10" x14ac:dyDescent="0.3">
      <c r="I8081" s="72">
        <v>4039.5</v>
      </c>
      <c r="J8081" s="70">
        <v>1</v>
      </c>
    </row>
    <row r="8082" spans="9:10" x14ac:dyDescent="0.3">
      <c r="I8082" s="72">
        <v>4040</v>
      </c>
      <c r="J8082" s="70">
        <v>1</v>
      </c>
    </row>
    <row r="8083" spans="9:10" x14ac:dyDescent="0.3">
      <c r="I8083" s="72">
        <v>4040.5</v>
      </c>
      <c r="J8083" s="70">
        <v>1</v>
      </c>
    </row>
    <row r="8084" spans="9:10" x14ac:dyDescent="0.3">
      <c r="I8084" s="72">
        <v>4041</v>
      </c>
      <c r="J8084" s="70">
        <v>1</v>
      </c>
    </row>
    <row r="8085" spans="9:10" x14ac:dyDescent="0.3">
      <c r="I8085" s="72">
        <v>4041.5</v>
      </c>
      <c r="J8085" s="70">
        <v>1</v>
      </c>
    </row>
    <row r="8086" spans="9:10" x14ac:dyDescent="0.3">
      <c r="I8086" s="72">
        <v>4042</v>
      </c>
      <c r="J8086" s="70">
        <v>1</v>
      </c>
    </row>
    <row r="8087" spans="9:10" x14ac:dyDescent="0.3">
      <c r="I8087" s="72">
        <v>4042.5</v>
      </c>
      <c r="J8087" s="70">
        <v>1</v>
      </c>
    </row>
    <row r="8088" spans="9:10" x14ac:dyDescent="0.3">
      <c r="I8088" s="72">
        <v>4043</v>
      </c>
      <c r="J8088" s="70">
        <v>1</v>
      </c>
    </row>
    <row r="8089" spans="9:10" x14ac:dyDescent="0.3">
      <c r="I8089" s="72">
        <v>4043.5</v>
      </c>
      <c r="J8089" s="70">
        <v>1</v>
      </c>
    </row>
    <row r="8090" spans="9:10" x14ac:dyDescent="0.3">
      <c r="I8090" s="72">
        <v>4044</v>
      </c>
      <c r="J8090" s="70">
        <v>1</v>
      </c>
    </row>
    <row r="8091" spans="9:10" x14ac:dyDescent="0.3">
      <c r="I8091" s="72">
        <v>4044.5</v>
      </c>
      <c r="J8091" s="70">
        <v>1</v>
      </c>
    </row>
    <row r="8092" spans="9:10" x14ac:dyDescent="0.3">
      <c r="I8092" s="72">
        <v>4045</v>
      </c>
      <c r="J8092" s="70">
        <v>1</v>
      </c>
    </row>
    <row r="8093" spans="9:10" x14ac:dyDescent="0.3">
      <c r="I8093" s="72">
        <v>4045.5</v>
      </c>
      <c r="J8093" s="70">
        <v>1</v>
      </c>
    </row>
    <row r="8094" spans="9:10" x14ac:dyDescent="0.3">
      <c r="I8094" s="72">
        <v>4046</v>
      </c>
      <c r="J8094" s="70">
        <v>1</v>
      </c>
    </row>
    <row r="8095" spans="9:10" x14ac:dyDescent="0.3">
      <c r="I8095" s="72">
        <v>4046.5</v>
      </c>
      <c r="J8095" s="70">
        <v>1</v>
      </c>
    </row>
    <row r="8096" spans="9:10" x14ac:dyDescent="0.3">
      <c r="I8096" s="72">
        <v>4047</v>
      </c>
      <c r="J8096" s="70">
        <v>1</v>
      </c>
    </row>
    <row r="8097" spans="9:10" x14ac:dyDescent="0.3">
      <c r="I8097" s="72">
        <v>4047.5</v>
      </c>
      <c r="J8097" s="70">
        <v>1</v>
      </c>
    </row>
    <row r="8098" spans="9:10" x14ac:dyDescent="0.3">
      <c r="I8098" s="72">
        <v>4048</v>
      </c>
      <c r="J8098" s="70">
        <v>1</v>
      </c>
    </row>
    <row r="8099" spans="9:10" x14ac:dyDescent="0.3">
      <c r="I8099" s="72">
        <v>4048.5</v>
      </c>
      <c r="J8099" s="70">
        <v>1</v>
      </c>
    </row>
    <row r="8100" spans="9:10" x14ac:dyDescent="0.3">
      <c r="I8100" s="72">
        <v>4049</v>
      </c>
      <c r="J8100" s="70">
        <v>1</v>
      </c>
    </row>
    <row r="8101" spans="9:10" x14ac:dyDescent="0.3">
      <c r="I8101" s="72">
        <v>4049.5</v>
      </c>
      <c r="J8101" s="70">
        <v>1</v>
      </c>
    </row>
    <row r="8102" spans="9:10" x14ac:dyDescent="0.3">
      <c r="I8102" s="72">
        <v>4050</v>
      </c>
      <c r="J8102" s="70">
        <v>1</v>
      </c>
    </row>
    <row r="8103" spans="9:10" x14ac:dyDescent="0.3">
      <c r="I8103" s="72">
        <v>4050.5</v>
      </c>
      <c r="J8103" s="70">
        <v>1</v>
      </c>
    </row>
    <row r="8104" spans="9:10" x14ac:dyDescent="0.3">
      <c r="I8104" s="72">
        <v>4051</v>
      </c>
      <c r="J8104" s="70">
        <v>1</v>
      </c>
    </row>
    <row r="8105" spans="9:10" x14ac:dyDescent="0.3">
      <c r="I8105" s="72">
        <v>4051.5</v>
      </c>
      <c r="J8105" s="70">
        <v>1</v>
      </c>
    </row>
    <row r="8106" spans="9:10" x14ac:dyDescent="0.3">
      <c r="I8106" s="72">
        <v>4052</v>
      </c>
      <c r="J8106" s="70">
        <v>1</v>
      </c>
    </row>
    <row r="8107" spans="9:10" x14ac:dyDescent="0.3">
      <c r="I8107" s="72">
        <v>4052.5</v>
      </c>
      <c r="J8107" s="70">
        <v>1</v>
      </c>
    </row>
    <row r="8108" spans="9:10" x14ac:dyDescent="0.3">
      <c r="I8108" s="72">
        <v>4053</v>
      </c>
      <c r="J8108" s="70">
        <v>1</v>
      </c>
    </row>
    <row r="8109" spans="9:10" x14ac:dyDescent="0.3">
      <c r="I8109" s="72">
        <v>4053.5</v>
      </c>
      <c r="J8109" s="70">
        <v>1</v>
      </c>
    </row>
    <row r="8110" spans="9:10" x14ac:dyDescent="0.3">
      <c r="I8110" s="72">
        <v>4054</v>
      </c>
      <c r="J8110" s="70">
        <v>1</v>
      </c>
    </row>
    <row r="8111" spans="9:10" x14ac:dyDescent="0.3">
      <c r="I8111" s="72">
        <v>4054.5</v>
      </c>
      <c r="J8111" s="70">
        <v>1</v>
      </c>
    </row>
    <row r="8112" spans="9:10" x14ac:dyDescent="0.3">
      <c r="I8112" s="72">
        <v>4055</v>
      </c>
      <c r="J8112" s="70">
        <v>1</v>
      </c>
    </row>
    <row r="8113" spans="9:10" x14ac:dyDescent="0.3">
      <c r="I8113" s="72">
        <v>4055.5</v>
      </c>
      <c r="J8113" s="70">
        <v>1</v>
      </c>
    </row>
    <row r="8114" spans="9:10" x14ac:dyDescent="0.3">
      <c r="I8114" s="72">
        <v>4056</v>
      </c>
      <c r="J8114" s="70">
        <v>1</v>
      </c>
    </row>
    <row r="8115" spans="9:10" x14ac:dyDescent="0.3">
      <c r="I8115" s="72">
        <v>4056.5</v>
      </c>
      <c r="J8115" s="70">
        <v>1</v>
      </c>
    </row>
    <row r="8116" spans="9:10" x14ac:dyDescent="0.3">
      <c r="I8116" s="72">
        <v>4057</v>
      </c>
      <c r="J8116" s="70">
        <v>1</v>
      </c>
    </row>
    <row r="8117" spans="9:10" x14ac:dyDescent="0.3">
      <c r="I8117" s="72">
        <v>4057.5</v>
      </c>
      <c r="J8117" s="70">
        <v>1</v>
      </c>
    </row>
    <row r="8118" spans="9:10" x14ac:dyDescent="0.3">
      <c r="I8118" s="72">
        <v>4058</v>
      </c>
      <c r="J8118" s="70">
        <v>1</v>
      </c>
    </row>
    <row r="8119" spans="9:10" x14ac:dyDescent="0.3">
      <c r="I8119" s="72">
        <v>4058.5</v>
      </c>
      <c r="J8119" s="70">
        <v>1</v>
      </c>
    </row>
    <row r="8120" spans="9:10" x14ac:dyDescent="0.3">
      <c r="I8120" s="72">
        <v>4059</v>
      </c>
      <c r="J8120" s="70">
        <v>1</v>
      </c>
    </row>
    <row r="8121" spans="9:10" x14ac:dyDescent="0.3">
      <c r="I8121" s="72">
        <v>4059.5</v>
      </c>
      <c r="J8121" s="70">
        <v>1</v>
      </c>
    </row>
    <row r="8122" spans="9:10" x14ac:dyDescent="0.3">
      <c r="I8122" s="72">
        <v>4060</v>
      </c>
      <c r="J8122" s="70">
        <v>1</v>
      </c>
    </row>
    <row r="8123" spans="9:10" x14ac:dyDescent="0.3">
      <c r="I8123" s="72">
        <v>4060.5</v>
      </c>
      <c r="J8123" s="70">
        <v>1</v>
      </c>
    </row>
    <row r="8124" spans="9:10" x14ac:dyDescent="0.3">
      <c r="I8124" s="72">
        <v>4061</v>
      </c>
      <c r="J8124" s="70">
        <v>1</v>
      </c>
    </row>
    <row r="8125" spans="9:10" x14ac:dyDescent="0.3">
      <c r="I8125" s="72">
        <v>4061.5</v>
      </c>
      <c r="J8125" s="70">
        <v>1</v>
      </c>
    </row>
    <row r="8126" spans="9:10" x14ac:dyDescent="0.3">
      <c r="I8126" s="72">
        <v>4062</v>
      </c>
      <c r="J8126" s="70">
        <v>1</v>
      </c>
    </row>
    <row r="8127" spans="9:10" x14ac:dyDescent="0.3">
      <c r="I8127" s="72">
        <v>4062.5</v>
      </c>
      <c r="J8127" s="70">
        <v>1</v>
      </c>
    </row>
    <row r="8128" spans="9:10" x14ac:dyDescent="0.3">
      <c r="I8128" s="72">
        <v>4063</v>
      </c>
      <c r="J8128" s="70">
        <v>1</v>
      </c>
    </row>
    <row r="8129" spans="9:10" x14ac:dyDescent="0.3">
      <c r="I8129" s="72">
        <v>4063.5</v>
      </c>
      <c r="J8129" s="70">
        <v>1</v>
      </c>
    </row>
    <row r="8130" spans="9:10" x14ac:dyDescent="0.3">
      <c r="I8130" s="72">
        <v>4064</v>
      </c>
      <c r="J8130" s="70">
        <v>1</v>
      </c>
    </row>
    <row r="8131" spans="9:10" x14ac:dyDescent="0.3">
      <c r="I8131" s="72">
        <v>4064.5</v>
      </c>
      <c r="J8131" s="70">
        <v>1</v>
      </c>
    </row>
    <row r="8132" spans="9:10" x14ac:dyDescent="0.3">
      <c r="I8132" s="72">
        <v>4065</v>
      </c>
      <c r="J8132" s="70">
        <v>1</v>
      </c>
    </row>
    <row r="8133" spans="9:10" x14ac:dyDescent="0.3">
      <c r="I8133" s="72">
        <v>4065.5</v>
      </c>
      <c r="J8133" s="70">
        <v>1</v>
      </c>
    </row>
    <row r="8134" spans="9:10" x14ac:dyDescent="0.3">
      <c r="I8134" s="72">
        <v>4066</v>
      </c>
      <c r="J8134" s="70">
        <v>1</v>
      </c>
    </row>
    <row r="8135" spans="9:10" x14ac:dyDescent="0.3">
      <c r="I8135" s="72">
        <v>4066.5</v>
      </c>
      <c r="J8135" s="70">
        <v>1</v>
      </c>
    </row>
    <row r="8136" spans="9:10" x14ac:dyDescent="0.3">
      <c r="I8136" s="72">
        <v>4067</v>
      </c>
      <c r="J8136" s="70">
        <v>1</v>
      </c>
    </row>
    <row r="8137" spans="9:10" x14ac:dyDescent="0.3">
      <c r="I8137" s="72">
        <v>4067.5</v>
      </c>
      <c r="J8137" s="70">
        <v>1</v>
      </c>
    </row>
    <row r="8138" spans="9:10" x14ac:dyDescent="0.3">
      <c r="I8138" s="72">
        <v>4068</v>
      </c>
      <c r="J8138" s="70">
        <v>1</v>
      </c>
    </row>
    <row r="8139" spans="9:10" x14ac:dyDescent="0.3">
      <c r="I8139" s="72">
        <v>4068.5</v>
      </c>
      <c r="J8139" s="70">
        <v>1</v>
      </c>
    </row>
    <row r="8140" spans="9:10" x14ac:dyDescent="0.3">
      <c r="I8140" s="72">
        <v>4069</v>
      </c>
      <c r="J8140" s="70">
        <v>1</v>
      </c>
    </row>
    <row r="8141" spans="9:10" x14ac:dyDescent="0.3">
      <c r="I8141" s="72">
        <v>4069.5</v>
      </c>
      <c r="J8141" s="70">
        <v>1</v>
      </c>
    </row>
    <row r="8142" spans="9:10" x14ac:dyDescent="0.3">
      <c r="I8142" s="72">
        <v>4070</v>
      </c>
      <c r="J8142" s="70">
        <v>1</v>
      </c>
    </row>
    <row r="8143" spans="9:10" x14ac:dyDescent="0.3">
      <c r="I8143" s="72">
        <v>4070.5</v>
      </c>
      <c r="J8143" s="70">
        <v>1</v>
      </c>
    </row>
    <row r="8144" spans="9:10" x14ac:dyDescent="0.3">
      <c r="I8144" s="72">
        <v>4071</v>
      </c>
      <c r="J8144" s="70">
        <v>1</v>
      </c>
    </row>
    <row r="8145" spans="9:10" x14ac:dyDescent="0.3">
      <c r="I8145" s="72">
        <v>4071.5</v>
      </c>
      <c r="J8145" s="70">
        <v>1</v>
      </c>
    </row>
    <row r="8146" spans="9:10" x14ac:dyDescent="0.3">
      <c r="I8146" s="72">
        <v>4072</v>
      </c>
      <c r="J8146" s="70">
        <v>1</v>
      </c>
    </row>
    <row r="8147" spans="9:10" x14ac:dyDescent="0.3">
      <c r="I8147" s="72">
        <v>4072.5</v>
      </c>
      <c r="J8147" s="70">
        <v>1</v>
      </c>
    </row>
    <row r="8148" spans="9:10" x14ac:dyDescent="0.3">
      <c r="I8148" s="72">
        <v>4073</v>
      </c>
      <c r="J8148" s="70">
        <v>1</v>
      </c>
    </row>
    <row r="8149" spans="9:10" x14ac:dyDescent="0.3">
      <c r="I8149" s="72">
        <v>4073.5</v>
      </c>
      <c r="J8149" s="70">
        <v>1</v>
      </c>
    </row>
    <row r="8150" spans="9:10" x14ac:dyDescent="0.3">
      <c r="I8150" s="72">
        <v>4074</v>
      </c>
      <c r="J8150" s="70">
        <v>1</v>
      </c>
    </row>
    <row r="8151" spans="9:10" x14ac:dyDescent="0.3">
      <c r="I8151" s="72">
        <v>4074.5</v>
      </c>
      <c r="J8151" s="70">
        <v>1</v>
      </c>
    </row>
    <row r="8152" spans="9:10" x14ac:dyDescent="0.3">
      <c r="I8152" s="72">
        <v>4075</v>
      </c>
      <c r="J8152" s="70">
        <v>1</v>
      </c>
    </row>
    <row r="8153" spans="9:10" x14ac:dyDescent="0.3">
      <c r="I8153" s="72">
        <v>4075.5</v>
      </c>
      <c r="J8153" s="70">
        <v>1</v>
      </c>
    </row>
    <row r="8154" spans="9:10" x14ac:dyDescent="0.3">
      <c r="I8154" s="72">
        <v>4076</v>
      </c>
      <c r="J8154" s="70">
        <v>1</v>
      </c>
    </row>
    <row r="8155" spans="9:10" x14ac:dyDescent="0.3">
      <c r="I8155" s="72">
        <v>4076.5</v>
      </c>
      <c r="J8155" s="70">
        <v>1</v>
      </c>
    </row>
    <row r="8156" spans="9:10" x14ac:dyDescent="0.3">
      <c r="I8156" s="72">
        <v>4077</v>
      </c>
      <c r="J8156" s="70">
        <v>1</v>
      </c>
    </row>
    <row r="8157" spans="9:10" x14ac:dyDescent="0.3">
      <c r="I8157" s="72">
        <v>4077.5</v>
      </c>
      <c r="J8157" s="70">
        <v>1</v>
      </c>
    </row>
    <row r="8158" spans="9:10" x14ac:dyDescent="0.3">
      <c r="I8158" s="72">
        <v>4078</v>
      </c>
      <c r="J8158" s="70">
        <v>1</v>
      </c>
    </row>
    <row r="8159" spans="9:10" x14ac:dyDescent="0.3">
      <c r="I8159" s="72">
        <v>4078.5</v>
      </c>
      <c r="J8159" s="70">
        <v>1</v>
      </c>
    </row>
    <row r="8160" spans="9:10" x14ac:dyDescent="0.3">
      <c r="I8160" s="72">
        <v>4079</v>
      </c>
      <c r="J8160" s="70">
        <v>1</v>
      </c>
    </row>
    <row r="8161" spans="9:10" x14ac:dyDescent="0.3">
      <c r="I8161" s="72">
        <v>4079.5</v>
      </c>
      <c r="J8161" s="70">
        <v>1</v>
      </c>
    </row>
    <row r="8162" spans="9:10" x14ac:dyDescent="0.3">
      <c r="I8162" s="72">
        <v>4080</v>
      </c>
      <c r="J8162" s="70">
        <v>1</v>
      </c>
    </row>
    <row r="8163" spans="9:10" x14ac:dyDescent="0.3">
      <c r="I8163" s="72">
        <v>4080.5</v>
      </c>
      <c r="J8163" s="70">
        <v>1</v>
      </c>
    </row>
    <row r="8164" spans="9:10" x14ac:dyDescent="0.3">
      <c r="I8164" s="72">
        <v>4081</v>
      </c>
      <c r="J8164" s="70">
        <v>1</v>
      </c>
    </row>
    <row r="8165" spans="9:10" x14ac:dyDescent="0.3">
      <c r="I8165" s="72">
        <v>4081.5</v>
      </c>
      <c r="J8165" s="70">
        <v>1</v>
      </c>
    </row>
    <row r="8166" spans="9:10" x14ac:dyDescent="0.3">
      <c r="I8166" s="72">
        <v>4082</v>
      </c>
      <c r="J8166" s="70">
        <v>1</v>
      </c>
    </row>
    <row r="8167" spans="9:10" x14ac:dyDescent="0.3">
      <c r="I8167" s="72">
        <v>4082.5</v>
      </c>
      <c r="J8167" s="70">
        <v>1</v>
      </c>
    </row>
    <row r="8168" spans="9:10" x14ac:dyDescent="0.3">
      <c r="I8168" s="72">
        <v>4083</v>
      </c>
      <c r="J8168" s="70">
        <v>1</v>
      </c>
    </row>
    <row r="8169" spans="9:10" x14ac:dyDescent="0.3">
      <c r="I8169" s="72">
        <v>4083.5</v>
      </c>
      <c r="J8169" s="70">
        <v>1</v>
      </c>
    </row>
    <row r="8170" spans="9:10" x14ac:dyDescent="0.3">
      <c r="I8170" s="72">
        <v>4084</v>
      </c>
      <c r="J8170" s="70">
        <v>1</v>
      </c>
    </row>
    <row r="8171" spans="9:10" x14ac:dyDescent="0.3">
      <c r="I8171" s="72">
        <v>4084.5</v>
      </c>
      <c r="J8171" s="70">
        <v>1</v>
      </c>
    </row>
    <row r="8172" spans="9:10" x14ac:dyDescent="0.3">
      <c r="I8172" s="72">
        <v>4085</v>
      </c>
      <c r="J8172" s="70">
        <v>1</v>
      </c>
    </row>
    <row r="8173" spans="9:10" x14ac:dyDescent="0.3">
      <c r="I8173" s="72">
        <v>4085.5</v>
      </c>
      <c r="J8173" s="70">
        <v>1</v>
      </c>
    </row>
    <row r="8174" spans="9:10" x14ac:dyDescent="0.3">
      <c r="I8174" s="72">
        <v>4086</v>
      </c>
      <c r="J8174" s="70">
        <v>1</v>
      </c>
    </row>
    <row r="8175" spans="9:10" x14ac:dyDescent="0.3">
      <c r="I8175" s="72">
        <v>4086.5</v>
      </c>
      <c r="J8175" s="70">
        <v>1</v>
      </c>
    </row>
    <row r="8176" spans="9:10" x14ac:dyDescent="0.3">
      <c r="I8176" s="72">
        <v>4087</v>
      </c>
      <c r="J8176" s="70">
        <v>1</v>
      </c>
    </row>
    <row r="8177" spans="9:10" x14ac:dyDescent="0.3">
      <c r="I8177" s="72">
        <v>4087.5</v>
      </c>
      <c r="J8177" s="70">
        <v>1</v>
      </c>
    </row>
    <row r="8178" spans="9:10" x14ac:dyDescent="0.3">
      <c r="I8178" s="72">
        <v>4088</v>
      </c>
      <c r="J8178" s="70">
        <v>1</v>
      </c>
    </row>
    <row r="8179" spans="9:10" x14ac:dyDescent="0.3">
      <c r="I8179" s="72">
        <v>4088.5</v>
      </c>
      <c r="J8179" s="70">
        <v>1</v>
      </c>
    </row>
    <row r="8180" spans="9:10" x14ac:dyDescent="0.3">
      <c r="I8180" s="72">
        <v>4089</v>
      </c>
      <c r="J8180" s="70">
        <v>1</v>
      </c>
    </row>
    <row r="8181" spans="9:10" x14ac:dyDescent="0.3">
      <c r="I8181" s="72">
        <v>4089.5</v>
      </c>
      <c r="J8181" s="70">
        <v>1</v>
      </c>
    </row>
    <row r="8182" spans="9:10" x14ac:dyDescent="0.3">
      <c r="I8182" s="72">
        <v>4090</v>
      </c>
      <c r="J8182" s="70">
        <v>1</v>
      </c>
    </row>
    <row r="8183" spans="9:10" x14ac:dyDescent="0.3">
      <c r="I8183" s="72">
        <v>4090.5</v>
      </c>
      <c r="J8183" s="70">
        <v>1</v>
      </c>
    </row>
    <row r="8184" spans="9:10" x14ac:dyDescent="0.3">
      <c r="I8184" s="72">
        <v>4091</v>
      </c>
      <c r="J8184" s="70">
        <v>1</v>
      </c>
    </row>
    <row r="8185" spans="9:10" x14ac:dyDescent="0.3">
      <c r="I8185" s="72">
        <v>4091.5</v>
      </c>
      <c r="J8185" s="70">
        <v>1</v>
      </c>
    </row>
    <row r="8186" spans="9:10" x14ac:dyDescent="0.3">
      <c r="I8186" s="72">
        <v>4092</v>
      </c>
      <c r="J8186" s="70">
        <v>1</v>
      </c>
    </row>
    <row r="8187" spans="9:10" x14ac:dyDescent="0.3">
      <c r="I8187" s="72">
        <v>4092.5</v>
      </c>
      <c r="J8187" s="70">
        <v>1</v>
      </c>
    </row>
    <row r="8188" spans="9:10" x14ac:dyDescent="0.3">
      <c r="I8188" s="72">
        <v>4093</v>
      </c>
      <c r="J8188" s="70">
        <v>1</v>
      </c>
    </row>
    <row r="8189" spans="9:10" x14ac:dyDescent="0.3">
      <c r="I8189" s="72">
        <v>4093.5</v>
      </c>
      <c r="J8189" s="70">
        <v>1</v>
      </c>
    </row>
    <row r="8190" spans="9:10" x14ac:dyDescent="0.3">
      <c r="I8190" s="72">
        <v>4094</v>
      </c>
      <c r="J8190" s="70">
        <v>1</v>
      </c>
    </row>
    <row r="8191" spans="9:10" x14ac:dyDescent="0.3">
      <c r="I8191" s="72">
        <v>4094.5</v>
      </c>
      <c r="J8191" s="70">
        <v>1</v>
      </c>
    </row>
    <row r="8192" spans="9:10" x14ac:dyDescent="0.3">
      <c r="I8192" s="72">
        <v>4095</v>
      </c>
      <c r="J8192" s="70">
        <v>1</v>
      </c>
    </row>
    <row r="8193" spans="9:10" x14ac:dyDescent="0.3">
      <c r="I8193" s="72">
        <v>4095.5</v>
      </c>
      <c r="J8193" s="70">
        <v>1</v>
      </c>
    </row>
    <row r="8194" spans="9:10" x14ac:dyDescent="0.3">
      <c r="I8194" s="72">
        <v>4096</v>
      </c>
      <c r="J8194" s="70">
        <v>1</v>
      </c>
    </row>
    <row r="8195" spans="9:10" x14ac:dyDescent="0.3">
      <c r="I8195" s="72">
        <v>4096.5</v>
      </c>
      <c r="J8195" s="70">
        <v>1</v>
      </c>
    </row>
    <row r="8196" spans="9:10" x14ac:dyDescent="0.3">
      <c r="I8196" s="72">
        <v>4097</v>
      </c>
      <c r="J8196" s="70">
        <v>1</v>
      </c>
    </row>
    <row r="8197" spans="9:10" x14ac:dyDescent="0.3">
      <c r="I8197" s="72">
        <v>4097.5</v>
      </c>
      <c r="J8197" s="70">
        <v>1</v>
      </c>
    </row>
    <row r="8198" spans="9:10" x14ac:dyDescent="0.3">
      <c r="I8198" s="72">
        <v>4098</v>
      </c>
      <c r="J8198" s="70">
        <v>1</v>
      </c>
    </row>
    <row r="8199" spans="9:10" x14ac:dyDescent="0.3">
      <c r="I8199" s="72">
        <v>4098.5</v>
      </c>
      <c r="J8199" s="70">
        <v>1</v>
      </c>
    </row>
    <row r="8200" spans="9:10" x14ac:dyDescent="0.3">
      <c r="I8200" s="72">
        <v>4099</v>
      </c>
      <c r="J8200" s="70">
        <v>1</v>
      </c>
    </row>
    <row r="8201" spans="9:10" x14ac:dyDescent="0.3">
      <c r="I8201" s="72">
        <v>4099.5</v>
      </c>
      <c r="J8201" s="70">
        <v>1</v>
      </c>
    </row>
    <row r="8202" spans="9:10" x14ac:dyDescent="0.3">
      <c r="I8202" s="72">
        <v>4100</v>
      </c>
      <c r="J8202" s="70">
        <v>1</v>
      </c>
    </row>
    <row r="8203" spans="9:10" x14ac:dyDescent="0.3">
      <c r="I8203" s="72">
        <v>4100.5</v>
      </c>
      <c r="J8203" s="70">
        <v>1</v>
      </c>
    </row>
    <row r="8204" spans="9:10" x14ac:dyDescent="0.3">
      <c r="I8204" s="72">
        <v>4101</v>
      </c>
      <c r="J8204" s="70">
        <v>1</v>
      </c>
    </row>
    <row r="8205" spans="9:10" x14ac:dyDescent="0.3">
      <c r="I8205" s="72">
        <v>4101.5</v>
      </c>
      <c r="J8205" s="70">
        <v>1</v>
      </c>
    </row>
    <row r="8206" spans="9:10" x14ac:dyDescent="0.3">
      <c r="I8206" s="72">
        <v>4102</v>
      </c>
      <c r="J8206" s="70">
        <v>1</v>
      </c>
    </row>
    <row r="8207" spans="9:10" x14ac:dyDescent="0.3">
      <c r="I8207" s="72">
        <v>4102.5</v>
      </c>
      <c r="J8207" s="70">
        <v>1</v>
      </c>
    </row>
    <row r="8208" spans="9:10" x14ac:dyDescent="0.3">
      <c r="I8208" s="72">
        <v>4103</v>
      </c>
      <c r="J8208" s="70">
        <v>1</v>
      </c>
    </row>
    <row r="8209" spans="9:10" x14ac:dyDescent="0.3">
      <c r="I8209" s="72">
        <v>4103.5</v>
      </c>
      <c r="J8209" s="70">
        <v>1</v>
      </c>
    </row>
    <row r="8210" spans="9:10" x14ac:dyDescent="0.3">
      <c r="I8210" s="72">
        <v>4104</v>
      </c>
      <c r="J8210" s="70">
        <v>1</v>
      </c>
    </row>
    <row r="8211" spans="9:10" x14ac:dyDescent="0.3">
      <c r="I8211" s="72">
        <v>4104.5</v>
      </c>
      <c r="J8211" s="70">
        <v>1</v>
      </c>
    </row>
    <row r="8212" spans="9:10" x14ac:dyDescent="0.3">
      <c r="I8212" s="72">
        <v>4105</v>
      </c>
      <c r="J8212" s="70">
        <v>1</v>
      </c>
    </row>
    <row r="8213" spans="9:10" x14ac:dyDescent="0.3">
      <c r="I8213" s="72">
        <v>4105.5</v>
      </c>
      <c r="J8213" s="70">
        <v>1</v>
      </c>
    </row>
    <row r="8214" spans="9:10" x14ac:dyDescent="0.3">
      <c r="I8214" s="72">
        <v>4106</v>
      </c>
      <c r="J8214" s="70">
        <v>1</v>
      </c>
    </row>
    <row r="8215" spans="9:10" x14ac:dyDescent="0.3">
      <c r="I8215" s="72">
        <v>4106.5</v>
      </c>
      <c r="J8215" s="70">
        <v>1</v>
      </c>
    </row>
    <row r="8216" spans="9:10" x14ac:dyDescent="0.3">
      <c r="I8216" s="72">
        <v>4107</v>
      </c>
      <c r="J8216" s="70">
        <v>1</v>
      </c>
    </row>
    <row r="8217" spans="9:10" x14ac:dyDescent="0.3">
      <c r="I8217" s="72">
        <v>4107.5</v>
      </c>
      <c r="J8217" s="70">
        <v>1</v>
      </c>
    </row>
    <row r="8218" spans="9:10" x14ac:dyDescent="0.3">
      <c r="I8218" s="72">
        <v>4108</v>
      </c>
      <c r="J8218" s="70">
        <v>1</v>
      </c>
    </row>
    <row r="8219" spans="9:10" x14ac:dyDescent="0.3">
      <c r="I8219" s="72">
        <v>4108.5</v>
      </c>
      <c r="J8219" s="70">
        <v>1</v>
      </c>
    </row>
    <row r="8220" spans="9:10" x14ac:dyDescent="0.3">
      <c r="I8220" s="72">
        <v>4109</v>
      </c>
      <c r="J8220" s="70">
        <v>1</v>
      </c>
    </row>
    <row r="8221" spans="9:10" x14ac:dyDescent="0.3">
      <c r="I8221" s="72">
        <v>4109.5</v>
      </c>
      <c r="J8221" s="70">
        <v>1</v>
      </c>
    </row>
    <row r="8222" spans="9:10" x14ac:dyDescent="0.3">
      <c r="I8222" s="72">
        <v>4110</v>
      </c>
      <c r="J8222" s="70">
        <v>1</v>
      </c>
    </row>
    <row r="8223" spans="9:10" x14ac:dyDescent="0.3">
      <c r="I8223" s="72">
        <v>4110.5</v>
      </c>
      <c r="J8223" s="70">
        <v>1</v>
      </c>
    </row>
    <row r="8224" spans="9:10" x14ac:dyDescent="0.3">
      <c r="I8224" s="72">
        <v>4111</v>
      </c>
      <c r="J8224" s="70">
        <v>1</v>
      </c>
    </row>
    <row r="8225" spans="9:10" x14ac:dyDescent="0.3">
      <c r="I8225" s="72">
        <v>4111.5</v>
      </c>
      <c r="J8225" s="70">
        <v>1</v>
      </c>
    </row>
    <row r="8226" spans="9:10" x14ac:dyDescent="0.3">
      <c r="I8226" s="72">
        <v>4112</v>
      </c>
      <c r="J8226" s="70">
        <v>1</v>
      </c>
    </row>
    <row r="8227" spans="9:10" x14ac:dyDescent="0.3">
      <c r="I8227" s="72">
        <v>4112.5</v>
      </c>
      <c r="J8227" s="70">
        <v>1</v>
      </c>
    </row>
    <row r="8228" spans="9:10" x14ac:dyDescent="0.3">
      <c r="I8228" s="72">
        <v>4113</v>
      </c>
      <c r="J8228" s="70">
        <v>1</v>
      </c>
    </row>
    <row r="8229" spans="9:10" x14ac:dyDescent="0.3">
      <c r="I8229" s="72">
        <v>4113.5</v>
      </c>
      <c r="J8229" s="70">
        <v>1</v>
      </c>
    </row>
    <row r="8230" spans="9:10" x14ac:dyDescent="0.3">
      <c r="I8230" s="72">
        <v>4114</v>
      </c>
      <c r="J8230" s="70">
        <v>1</v>
      </c>
    </row>
    <row r="8231" spans="9:10" x14ac:dyDescent="0.3">
      <c r="I8231" s="72">
        <v>4114.5</v>
      </c>
      <c r="J8231" s="70">
        <v>1</v>
      </c>
    </row>
    <row r="8232" spans="9:10" x14ac:dyDescent="0.3">
      <c r="I8232" s="72">
        <v>4115</v>
      </c>
      <c r="J8232" s="70">
        <v>1</v>
      </c>
    </row>
    <row r="8233" spans="9:10" x14ac:dyDescent="0.3">
      <c r="I8233" s="72">
        <v>4115.5</v>
      </c>
      <c r="J8233" s="70">
        <v>1</v>
      </c>
    </row>
    <row r="8234" spans="9:10" x14ac:dyDescent="0.3">
      <c r="I8234" s="72">
        <v>4116</v>
      </c>
      <c r="J8234" s="70">
        <v>1</v>
      </c>
    </row>
    <row r="8235" spans="9:10" x14ac:dyDescent="0.3">
      <c r="I8235" s="72">
        <v>4116.5</v>
      </c>
      <c r="J8235" s="70">
        <v>1</v>
      </c>
    </row>
    <row r="8236" spans="9:10" x14ac:dyDescent="0.3">
      <c r="I8236" s="72">
        <v>4117</v>
      </c>
      <c r="J8236" s="70">
        <v>1</v>
      </c>
    </row>
    <row r="8237" spans="9:10" x14ac:dyDescent="0.3">
      <c r="I8237" s="72">
        <v>4117.5</v>
      </c>
      <c r="J8237" s="70">
        <v>1</v>
      </c>
    </row>
    <row r="8238" spans="9:10" x14ac:dyDescent="0.3">
      <c r="I8238" s="72">
        <v>4118</v>
      </c>
      <c r="J8238" s="70">
        <v>1</v>
      </c>
    </row>
    <row r="8239" spans="9:10" x14ac:dyDescent="0.3">
      <c r="I8239" s="72">
        <v>4118.5</v>
      </c>
      <c r="J8239" s="70">
        <v>1</v>
      </c>
    </row>
    <row r="8240" spans="9:10" x14ac:dyDescent="0.3">
      <c r="I8240" s="72">
        <v>4119</v>
      </c>
      <c r="J8240" s="70">
        <v>1</v>
      </c>
    </row>
    <row r="8241" spans="9:10" x14ac:dyDescent="0.3">
      <c r="I8241" s="72">
        <v>4119.5</v>
      </c>
      <c r="J8241" s="70">
        <v>1</v>
      </c>
    </row>
    <row r="8242" spans="9:10" x14ac:dyDescent="0.3">
      <c r="I8242" s="72">
        <v>4120</v>
      </c>
      <c r="J8242" s="70">
        <v>1</v>
      </c>
    </row>
    <row r="8243" spans="9:10" x14ac:dyDescent="0.3">
      <c r="I8243" s="72">
        <v>4120.5</v>
      </c>
      <c r="J8243" s="70">
        <v>1</v>
      </c>
    </row>
    <row r="8244" spans="9:10" x14ac:dyDescent="0.3">
      <c r="I8244" s="72">
        <v>4121</v>
      </c>
      <c r="J8244" s="70">
        <v>1</v>
      </c>
    </row>
    <row r="8245" spans="9:10" x14ac:dyDescent="0.3">
      <c r="I8245" s="72">
        <v>4121.5</v>
      </c>
      <c r="J8245" s="70">
        <v>1</v>
      </c>
    </row>
    <row r="8246" spans="9:10" x14ac:dyDescent="0.3">
      <c r="I8246" s="72">
        <v>4122</v>
      </c>
      <c r="J8246" s="70">
        <v>1</v>
      </c>
    </row>
    <row r="8247" spans="9:10" x14ac:dyDescent="0.3">
      <c r="I8247" s="72">
        <v>4122.5</v>
      </c>
      <c r="J8247" s="70">
        <v>1</v>
      </c>
    </row>
    <row r="8248" spans="9:10" x14ac:dyDescent="0.3">
      <c r="I8248" s="72">
        <v>4123</v>
      </c>
      <c r="J8248" s="70">
        <v>1</v>
      </c>
    </row>
    <row r="8249" spans="9:10" x14ac:dyDescent="0.3">
      <c r="I8249" s="72">
        <v>4123.5</v>
      </c>
      <c r="J8249" s="70">
        <v>1</v>
      </c>
    </row>
    <row r="8250" spans="9:10" x14ac:dyDescent="0.3">
      <c r="I8250" s="72">
        <v>4124</v>
      </c>
      <c r="J8250" s="70">
        <v>1</v>
      </c>
    </row>
    <row r="8251" spans="9:10" x14ac:dyDescent="0.3">
      <c r="I8251" s="72">
        <v>4124.5</v>
      </c>
      <c r="J8251" s="70">
        <v>1</v>
      </c>
    </row>
    <row r="8252" spans="9:10" x14ac:dyDescent="0.3">
      <c r="I8252" s="72">
        <v>4125</v>
      </c>
      <c r="J8252" s="70">
        <v>1</v>
      </c>
    </row>
    <row r="8253" spans="9:10" x14ac:dyDescent="0.3">
      <c r="I8253" s="72">
        <v>4125.5</v>
      </c>
      <c r="J8253" s="70">
        <v>1</v>
      </c>
    </row>
    <row r="8254" spans="9:10" x14ac:dyDescent="0.3">
      <c r="I8254" s="72">
        <v>4126</v>
      </c>
      <c r="J8254" s="70">
        <v>1</v>
      </c>
    </row>
    <row r="8255" spans="9:10" x14ac:dyDescent="0.3">
      <c r="I8255" s="72">
        <v>4126.5</v>
      </c>
      <c r="J8255" s="70">
        <v>1</v>
      </c>
    </row>
    <row r="8256" spans="9:10" x14ac:dyDescent="0.3">
      <c r="I8256" s="72">
        <v>4127</v>
      </c>
      <c r="J8256" s="70">
        <v>1</v>
      </c>
    </row>
    <row r="8257" spans="9:10" x14ac:dyDescent="0.3">
      <c r="I8257" s="72">
        <v>4127.5</v>
      </c>
      <c r="J8257" s="70">
        <v>1</v>
      </c>
    </row>
    <row r="8258" spans="9:10" x14ac:dyDescent="0.3">
      <c r="I8258" s="72">
        <v>4128</v>
      </c>
      <c r="J8258" s="70">
        <v>1</v>
      </c>
    </row>
    <row r="8259" spans="9:10" x14ac:dyDescent="0.3">
      <c r="I8259" s="72">
        <v>4128.5</v>
      </c>
      <c r="J8259" s="70">
        <v>1</v>
      </c>
    </row>
    <row r="8260" spans="9:10" x14ac:dyDescent="0.3">
      <c r="I8260" s="72">
        <v>4129</v>
      </c>
      <c r="J8260" s="70">
        <v>1</v>
      </c>
    </row>
    <row r="8261" spans="9:10" x14ac:dyDescent="0.3">
      <c r="I8261" s="72">
        <v>4129.5</v>
      </c>
      <c r="J8261" s="70">
        <v>1</v>
      </c>
    </row>
    <row r="8262" spans="9:10" x14ac:dyDescent="0.3">
      <c r="I8262" s="72">
        <v>4130</v>
      </c>
      <c r="J8262" s="70">
        <v>1</v>
      </c>
    </row>
    <row r="8263" spans="9:10" x14ac:dyDescent="0.3">
      <c r="I8263" s="72">
        <v>4130.5</v>
      </c>
      <c r="J8263" s="70">
        <v>1</v>
      </c>
    </row>
    <row r="8264" spans="9:10" x14ac:dyDescent="0.3">
      <c r="I8264" s="72">
        <v>4131</v>
      </c>
      <c r="J8264" s="70">
        <v>1</v>
      </c>
    </row>
    <row r="8265" spans="9:10" x14ac:dyDescent="0.3">
      <c r="I8265" s="72">
        <v>4131.5</v>
      </c>
      <c r="J8265" s="70">
        <v>1</v>
      </c>
    </row>
    <row r="8266" spans="9:10" x14ac:dyDescent="0.3">
      <c r="I8266" s="72">
        <v>4132</v>
      </c>
      <c r="J8266" s="70">
        <v>1</v>
      </c>
    </row>
    <row r="8267" spans="9:10" x14ac:dyDescent="0.3">
      <c r="I8267" s="72">
        <v>4132.5</v>
      </c>
      <c r="J8267" s="70">
        <v>1</v>
      </c>
    </row>
    <row r="8268" spans="9:10" x14ac:dyDescent="0.3">
      <c r="I8268" s="72">
        <v>4133</v>
      </c>
      <c r="J8268" s="70">
        <v>1</v>
      </c>
    </row>
    <row r="8269" spans="9:10" x14ac:dyDescent="0.3">
      <c r="I8269" s="72">
        <v>4133.5</v>
      </c>
      <c r="J8269" s="70">
        <v>1</v>
      </c>
    </row>
    <row r="8270" spans="9:10" x14ac:dyDescent="0.3">
      <c r="I8270" s="72">
        <v>4134</v>
      </c>
      <c r="J8270" s="70">
        <v>1</v>
      </c>
    </row>
    <row r="8271" spans="9:10" x14ac:dyDescent="0.3">
      <c r="I8271" s="72">
        <v>4134.5</v>
      </c>
      <c r="J8271" s="70">
        <v>1</v>
      </c>
    </row>
    <row r="8272" spans="9:10" x14ac:dyDescent="0.3">
      <c r="I8272" s="72">
        <v>4135</v>
      </c>
      <c r="J8272" s="70">
        <v>1</v>
      </c>
    </row>
    <row r="8273" spans="9:10" x14ac:dyDescent="0.3">
      <c r="I8273" s="72">
        <v>4135.5</v>
      </c>
      <c r="J8273" s="70">
        <v>1</v>
      </c>
    </row>
    <row r="8274" spans="9:10" x14ac:dyDescent="0.3">
      <c r="I8274" s="72">
        <v>4136</v>
      </c>
      <c r="J8274" s="70">
        <v>1</v>
      </c>
    </row>
    <row r="8275" spans="9:10" x14ac:dyDescent="0.3">
      <c r="I8275" s="72">
        <v>4136.5</v>
      </c>
      <c r="J8275" s="70">
        <v>1</v>
      </c>
    </row>
    <row r="8276" spans="9:10" x14ac:dyDescent="0.3">
      <c r="I8276" s="72">
        <v>4137</v>
      </c>
      <c r="J8276" s="70">
        <v>1</v>
      </c>
    </row>
    <row r="8277" spans="9:10" x14ac:dyDescent="0.3">
      <c r="I8277" s="72">
        <v>4137.5</v>
      </c>
      <c r="J8277" s="70">
        <v>1</v>
      </c>
    </row>
    <row r="8278" spans="9:10" x14ac:dyDescent="0.3">
      <c r="I8278" s="72">
        <v>4138</v>
      </c>
      <c r="J8278" s="70">
        <v>1</v>
      </c>
    </row>
    <row r="8279" spans="9:10" x14ac:dyDescent="0.3">
      <c r="I8279" s="72">
        <v>4138.5</v>
      </c>
      <c r="J8279" s="70">
        <v>1</v>
      </c>
    </row>
    <row r="8280" spans="9:10" x14ac:dyDescent="0.3">
      <c r="I8280" s="72">
        <v>4139</v>
      </c>
      <c r="J8280" s="70">
        <v>1</v>
      </c>
    </row>
    <row r="8281" spans="9:10" x14ac:dyDescent="0.3">
      <c r="I8281" s="72">
        <v>4139.5</v>
      </c>
      <c r="J8281" s="70">
        <v>1</v>
      </c>
    </row>
    <row r="8282" spans="9:10" x14ac:dyDescent="0.3">
      <c r="I8282" s="72">
        <v>4140</v>
      </c>
      <c r="J8282" s="70">
        <v>1</v>
      </c>
    </row>
    <row r="8283" spans="9:10" x14ac:dyDescent="0.3">
      <c r="I8283" s="72">
        <v>4140.5</v>
      </c>
      <c r="J8283" s="70">
        <v>1</v>
      </c>
    </row>
    <row r="8284" spans="9:10" x14ac:dyDescent="0.3">
      <c r="I8284" s="72">
        <v>4141</v>
      </c>
      <c r="J8284" s="70">
        <v>1</v>
      </c>
    </row>
    <row r="8285" spans="9:10" x14ac:dyDescent="0.3">
      <c r="I8285" s="72">
        <v>4141.5</v>
      </c>
      <c r="J8285" s="70">
        <v>1</v>
      </c>
    </row>
    <row r="8286" spans="9:10" x14ac:dyDescent="0.3">
      <c r="I8286" s="72">
        <v>4142</v>
      </c>
      <c r="J8286" s="70">
        <v>1</v>
      </c>
    </row>
    <row r="8287" spans="9:10" x14ac:dyDescent="0.3">
      <c r="I8287" s="72">
        <v>4142.5</v>
      </c>
      <c r="J8287" s="70">
        <v>1</v>
      </c>
    </row>
    <row r="8288" spans="9:10" x14ac:dyDescent="0.3">
      <c r="I8288" s="72">
        <v>4143</v>
      </c>
      <c r="J8288" s="70">
        <v>1</v>
      </c>
    </row>
    <row r="8289" spans="9:10" x14ac:dyDescent="0.3">
      <c r="I8289" s="72">
        <v>4143.5</v>
      </c>
      <c r="J8289" s="70">
        <v>1</v>
      </c>
    </row>
    <row r="8290" spans="9:10" x14ac:dyDescent="0.3">
      <c r="I8290" s="72">
        <v>4144</v>
      </c>
      <c r="J8290" s="70">
        <v>1</v>
      </c>
    </row>
    <row r="8291" spans="9:10" x14ac:dyDescent="0.3">
      <c r="I8291" s="72">
        <v>4144.5</v>
      </c>
      <c r="J8291" s="70">
        <v>1</v>
      </c>
    </row>
    <row r="8292" spans="9:10" x14ac:dyDescent="0.3">
      <c r="I8292" s="72">
        <v>4145</v>
      </c>
      <c r="J8292" s="70">
        <v>1</v>
      </c>
    </row>
    <row r="8293" spans="9:10" x14ac:dyDescent="0.3">
      <c r="I8293" s="72">
        <v>4145.5</v>
      </c>
      <c r="J8293" s="70">
        <v>1</v>
      </c>
    </row>
    <row r="8294" spans="9:10" x14ac:dyDescent="0.3">
      <c r="I8294" s="72">
        <v>4146</v>
      </c>
      <c r="J8294" s="70">
        <v>1</v>
      </c>
    </row>
    <row r="8295" spans="9:10" x14ac:dyDescent="0.3">
      <c r="I8295" s="72">
        <v>4146.5</v>
      </c>
      <c r="J8295" s="70">
        <v>1</v>
      </c>
    </row>
    <row r="8296" spans="9:10" x14ac:dyDescent="0.3">
      <c r="I8296" s="72">
        <v>4147</v>
      </c>
      <c r="J8296" s="70">
        <v>1</v>
      </c>
    </row>
    <row r="8297" spans="9:10" x14ac:dyDescent="0.3">
      <c r="I8297" s="72">
        <v>4147.5</v>
      </c>
      <c r="J8297" s="70">
        <v>1</v>
      </c>
    </row>
    <row r="8298" spans="9:10" x14ac:dyDescent="0.3">
      <c r="I8298" s="72">
        <v>4148</v>
      </c>
      <c r="J8298" s="70">
        <v>1</v>
      </c>
    </row>
    <row r="8299" spans="9:10" x14ac:dyDescent="0.3">
      <c r="I8299" s="72">
        <v>4148.5</v>
      </c>
      <c r="J8299" s="70">
        <v>1</v>
      </c>
    </row>
    <row r="8300" spans="9:10" x14ac:dyDescent="0.3">
      <c r="I8300" s="72">
        <v>4149</v>
      </c>
      <c r="J8300" s="70">
        <v>1</v>
      </c>
    </row>
    <row r="8301" spans="9:10" x14ac:dyDescent="0.3">
      <c r="I8301" s="72">
        <v>4149.5</v>
      </c>
      <c r="J8301" s="70">
        <v>1</v>
      </c>
    </row>
    <row r="8302" spans="9:10" x14ac:dyDescent="0.3">
      <c r="I8302" s="72">
        <v>4150</v>
      </c>
      <c r="J8302" s="70">
        <v>1</v>
      </c>
    </row>
    <row r="8303" spans="9:10" x14ac:dyDescent="0.3">
      <c r="I8303" s="72">
        <v>4150.5</v>
      </c>
      <c r="J8303" s="70">
        <v>1</v>
      </c>
    </row>
    <row r="8304" spans="9:10" x14ac:dyDescent="0.3">
      <c r="I8304" s="72">
        <v>4151</v>
      </c>
      <c r="J8304" s="70">
        <v>1</v>
      </c>
    </row>
    <row r="8305" spans="9:10" x14ac:dyDescent="0.3">
      <c r="I8305" s="72">
        <v>4151.5</v>
      </c>
      <c r="J8305" s="70">
        <v>1</v>
      </c>
    </row>
    <row r="8306" spans="9:10" x14ac:dyDescent="0.3">
      <c r="I8306" s="72">
        <v>4152</v>
      </c>
      <c r="J8306" s="70">
        <v>1</v>
      </c>
    </row>
    <row r="8307" spans="9:10" x14ac:dyDescent="0.3">
      <c r="I8307" s="72">
        <v>4152.5</v>
      </c>
      <c r="J8307" s="70">
        <v>1</v>
      </c>
    </row>
    <row r="8308" spans="9:10" x14ac:dyDescent="0.3">
      <c r="I8308" s="72">
        <v>4153</v>
      </c>
      <c r="J8308" s="70">
        <v>1</v>
      </c>
    </row>
    <row r="8309" spans="9:10" x14ac:dyDescent="0.3">
      <c r="I8309" s="72">
        <v>4153.5</v>
      </c>
      <c r="J8309" s="70">
        <v>1</v>
      </c>
    </row>
    <row r="8310" spans="9:10" x14ac:dyDescent="0.3">
      <c r="I8310" s="72">
        <v>4154</v>
      </c>
      <c r="J8310" s="70">
        <v>1</v>
      </c>
    </row>
    <row r="8311" spans="9:10" x14ac:dyDescent="0.3">
      <c r="I8311" s="72">
        <v>4154.5</v>
      </c>
      <c r="J8311" s="70">
        <v>1</v>
      </c>
    </row>
    <row r="8312" spans="9:10" x14ac:dyDescent="0.3">
      <c r="I8312" s="72">
        <v>4155</v>
      </c>
      <c r="J8312" s="70">
        <v>1</v>
      </c>
    </row>
    <row r="8313" spans="9:10" x14ac:dyDescent="0.3">
      <c r="I8313" s="72">
        <v>4155.5</v>
      </c>
      <c r="J8313" s="70">
        <v>1</v>
      </c>
    </row>
    <row r="8314" spans="9:10" x14ac:dyDescent="0.3">
      <c r="I8314" s="72">
        <v>4156</v>
      </c>
      <c r="J8314" s="70">
        <v>1</v>
      </c>
    </row>
    <row r="8315" spans="9:10" x14ac:dyDescent="0.3">
      <c r="I8315" s="72">
        <v>4156.5</v>
      </c>
      <c r="J8315" s="70">
        <v>1</v>
      </c>
    </row>
    <row r="8316" spans="9:10" x14ac:dyDescent="0.3">
      <c r="I8316" s="72">
        <v>4157</v>
      </c>
      <c r="J8316" s="70">
        <v>1</v>
      </c>
    </row>
    <row r="8317" spans="9:10" x14ac:dyDescent="0.3">
      <c r="I8317" s="72">
        <v>4157.5</v>
      </c>
      <c r="J8317" s="70">
        <v>1</v>
      </c>
    </row>
    <row r="8318" spans="9:10" x14ac:dyDescent="0.3">
      <c r="I8318" s="72">
        <v>4158</v>
      </c>
      <c r="J8318" s="70">
        <v>1</v>
      </c>
    </row>
    <row r="8319" spans="9:10" x14ac:dyDescent="0.3">
      <c r="I8319" s="72">
        <v>4158.5</v>
      </c>
      <c r="J8319" s="70">
        <v>1</v>
      </c>
    </row>
    <row r="8320" spans="9:10" x14ac:dyDescent="0.3">
      <c r="I8320" s="72">
        <v>4159</v>
      </c>
      <c r="J8320" s="70">
        <v>1</v>
      </c>
    </row>
    <row r="8321" spans="9:10" x14ac:dyDescent="0.3">
      <c r="I8321" s="72">
        <v>4159.5</v>
      </c>
      <c r="J8321" s="70">
        <v>1</v>
      </c>
    </row>
    <row r="8322" spans="9:10" x14ac:dyDescent="0.3">
      <c r="I8322" s="72">
        <v>4160</v>
      </c>
      <c r="J8322" s="70">
        <v>1</v>
      </c>
    </row>
    <row r="8323" spans="9:10" x14ac:dyDescent="0.3">
      <c r="I8323" s="72">
        <v>4160.5</v>
      </c>
      <c r="J8323" s="70">
        <v>1</v>
      </c>
    </row>
    <row r="8324" spans="9:10" x14ac:dyDescent="0.3">
      <c r="I8324" s="72">
        <v>4161</v>
      </c>
      <c r="J8324" s="70">
        <v>1</v>
      </c>
    </row>
    <row r="8325" spans="9:10" x14ac:dyDescent="0.3">
      <c r="I8325" s="72">
        <v>4161.5</v>
      </c>
      <c r="J8325" s="70">
        <v>1</v>
      </c>
    </row>
    <row r="8326" spans="9:10" x14ac:dyDescent="0.3">
      <c r="I8326" s="72">
        <v>4162</v>
      </c>
      <c r="J8326" s="70">
        <v>1</v>
      </c>
    </row>
    <row r="8327" spans="9:10" x14ac:dyDescent="0.3">
      <c r="I8327" s="72">
        <v>4162.5</v>
      </c>
      <c r="J8327" s="70">
        <v>1</v>
      </c>
    </row>
    <row r="8328" spans="9:10" x14ac:dyDescent="0.3">
      <c r="I8328" s="72">
        <v>4163</v>
      </c>
      <c r="J8328" s="70">
        <v>1</v>
      </c>
    </row>
    <row r="8329" spans="9:10" x14ac:dyDescent="0.3">
      <c r="I8329" s="72">
        <v>4163.5</v>
      </c>
      <c r="J8329" s="70">
        <v>1</v>
      </c>
    </row>
    <row r="8330" spans="9:10" x14ac:dyDescent="0.3">
      <c r="I8330" s="72">
        <v>4164</v>
      </c>
      <c r="J8330" s="70">
        <v>1</v>
      </c>
    </row>
    <row r="8331" spans="9:10" x14ac:dyDescent="0.3">
      <c r="I8331" s="72">
        <v>4164.5</v>
      </c>
      <c r="J8331" s="70">
        <v>1</v>
      </c>
    </row>
    <row r="8332" spans="9:10" x14ac:dyDescent="0.3">
      <c r="I8332" s="72">
        <v>4165</v>
      </c>
      <c r="J8332" s="70">
        <v>1</v>
      </c>
    </row>
    <row r="8333" spans="9:10" x14ac:dyDescent="0.3">
      <c r="I8333" s="72">
        <v>4165.5</v>
      </c>
      <c r="J8333" s="70">
        <v>1</v>
      </c>
    </row>
    <row r="8334" spans="9:10" x14ac:dyDescent="0.3">
      <c r="I8334" s="72">
        <v>4166</v>
      </c>
      <c r="J8334" s="70">
        <v>1</v>
      </c>
    </row>
    <row r="8335" spans="9:10" x14ac:dyDescent="0.3">
      <c r="I8335" s="72">
        <v>4166.5</v>
      </c>
      <c r="J8335" s="70">
        <v>1</v>
      </c>
    </row>
    <row r="8336" spans="9:10" x14ac:dyDescent="0.3">
      <c r="I8336" s="72">
        <v>4167</v>
      </c>
      <c r="J8336" s="70">
        <v>1</v>
      </c>
    </row>
    <row r="8337" spans="9:10" x14ac:dyDescent="0.3">
      <c r="I8337" s="72">
        <v>4167.5</v>
      </c>
      <c r="J8337" s="70">
        <v>1</v>
      </c>
    </row>
    <row r="8338" spans="9:10" x14ac:dyDescent="0.3">
      <c r="I8338" s="72">
        <v>4168</v>
      </c>
      <c r="J8338" s="70">
        <v>1</v>
      </c>
    </row>
    <row r="8339" spans="9:10" x14ac:dyDescent="0.3">
      <c r="I8339" s="72">
        <v>4168.5</v>
      </c>
      <c r="J8339" s="70">
        <v>1</v>
      </c>
    </row>
    <row r="8340" spans="9:10" x14ac:dyDescent="0.3">
      <c r="I8340" s="72">
        <v>4169</v>
      </c>
      <c r="J8340" s="70">
        <v>1</v>
      </c>
    </row>
    <row r="8341" spans="9:10" x14ac:dyDescent="0.3">
      <c r="I8341" s="72">
        <v>4169.5</v>
      </c>
      <c r="J8341" s="70">
        <v>1</v>
      </c>
    </row>
    <row r="8342" spans="9:10" x14ac:dyDescent="0.3">
      <c r="I8342" s="72">
        <v>4170</v>
      </c>
      <c r="J8342" s="70">
        <v>1</v>
      </c>
    </row>
    <row r="8343" spans="9:10" x14ac:dyDescent="0.3">
      <c r="I8343" s="72">
        <v>4170.5</v>
      </c>
      <c r="J8343" s="70">
        <v>1</v>
      </c>
    </row>
    <row r="8344" spans="9:10" x14ac:dyDescent="0.3">
      <c r="I8344" s="72">
        <v>4171</v>
      </c>
      <c r="J8344" s="70">
        <v>1</v>
      </c>
    </row>
    <row r="8345" spans="9:10" x14ac:dyDescent="0.3">
      <c r="I8345" s="72">
        <v>4171.5</v>
      </c>
      <c r="J8345" s="70">
        <v>1</v>
      </c>
    </row>
    <row r="8346" spans="9:10" x14ac:dyDescent="0.3">
      <c r="I8346" s="72">
        <v>4172</v>
      </c>
      <c r="J8346" s="70">
        <v>1</v>
      </c>
    </row>
    <row r="8347" spans="9:10" x14ac:dyDescent="0.3">
      <c r="I8347" s="72">
        <v>4172.5</v>
      </c>
      <c r="J8347" s="70">
        <v>1</v>
      </c>
    </row>
    <row r="8348" spans="9:10" x14ac:dyDescent="0.3">
      <c r="I8348" s="72">
        <v>4173</v>
      </c>
      <c r="J8348" s="70">
        <v>1</v>
      </c>
    </row>
    <row r="8349" spans="9:10" x14ac:dyDescent="0.3">
      <c r="I8349" s="72">
        <v>4173.5</v>
      </c>
      <c r="J8349" s="70">
        <v>1</v>
      </c>
    </row>
    <row r="8350" spans="9:10" x14ac:dyDescent="0.3">
      <c r="I8350" s="72">
        <v>4174</v>
      </c>
      <c r="J8350" s="70">
        <v>1</v>
      </c>
    </row>
    <row r="8351" spans="9:10" x14ac:dyDescent="0.3">
      <c r="I8351" s="72">
        <v>4174.5</v>
      </c>
      <c r="J8351" s="70">
        <v>1</v>
      </c>
    </row>
    <row r="8352" spans="9:10" x14ac:dyDescent="0.3">
      <c r="I8352" s="72">
        <v>4175</v>
      </c>
      <c r="J8352" s="70">
        <v>1</v>
      </c>
    </row>
    <row r="8353" spans="9:10" x14ac:dyDescent="0.3">
      <c r="I8353" s="72">
        <v>4175.5</v>
      </c>
      <c r="J8353" s="70">
        <v>1</v>
      </c>
    </row>
    <row r="8354" spans="9:10" x14ac:dyDescent="0.3">
      <c r="I8354" s="72">
        <v>4176</v>
      </c>
      <c r="J8354" s="70">
        <v>1</v>
      </c>
    </row>
    <row r="8355" spans="9:10" x14ac:dyDescent="0.3">
      <c r="I8355" s="72">
        <v>4176.5</v>
      </c>
      <c r="J8355" s="70">
        <v>1</v>
      </c>
    </row>
    <row r="8356" spans="9:10" x14ac:dyDescent="0.3">
      <c r="I8356" s="72">
        <v>4177</v>
      </c>
      <c r="J8356" s="70">
        <v>1</v>
      </c>
    </row>
    <row r="8357" spans="9:10" x14ac:dyDescent="0.3">
      <c r="I8357" s="72">
        <v>4177.5</v>
      </c>
      <c r="J8357" s="70">
        <v>1</v>
      </c>
    </row>
    <row r="8358" spans="9:10" x14ac:dyDescent="0.3">
      <c r="I8358" s="72">
        <v>4178</v>
      </c>
      <c r="J8358" s="70">
        <v>1</v>
      </c>
    </row>
    <row r="8359" spans="9:10" x14ac:dyDescent="0.3">
      <c r="I8359" s="72">
        <v>4178.5</v>
      </c>
      <c r="J8359" s="70">
        <v>1</v>
      </c>
    </row>
    <row r="8360" spans="9:10" x14ac:dyDescent="0.3">
      <c r="I8360" s="72">
        <v>4179</v>
      </c>
      <c r="J8360" s="70">
        <v>1</v>
      </c>
    </row>
    <row r="8361" spans="9:10" x14ac:dyDescent="0.3">
      <c r="I8361" s="72">
        <v>4179.5</v>
      </c>
      <c r="J8361" s="70">
        <v>1</v>
      </c>
    </row>
    <row r="8362" spans="9:10" x14ac:dyDescent="0.3">
      <c r="I8362" s="72">
        <v>4180</v>
      </c>
      <c r="J8362" s="70">
        <v>1</v>
      </c>
    </row>
    <row r="8363" spans="9:10" x14ac:dyDescent="0.3">
      <c r="I8363" s="72">
        <v>4180.5</v>
      </c>
      <c r="J8363" s="70">
        <v>1</v>
      </c>
    </row>
    <row r="8364" spans="9:10" x14ac:dyDescent="0.3">
      <c r="I8364" s="72">
        <v>4181</v>
      </c>
      <c r="J8364" s="70">
        <v>1</v>
      </c>
    </row>
    <row r="8365" spans="9:10" x14ac:dyDescent="0.3">
      <c r="I8365" s="72">
        <v>4181.5</v>
      </c>
      <c r="J8365" s="70">
        <v>1</v>
      </c>
    </row>
    <row r="8366" spans="9:10" x14ac:dyDescent="0.3">
      <c r="I8366" s="72">
        <v>4182</v>
      </c>
      <c r="J8366" s="70">
        <v>1</v>
      </c>
    </row>
    <row r="8367" spans="9:10" x14ac:dyDescent="0.3">
      <c r="I8367" s="72">
        <v>4182.5</v>
      </c>
      <c r="J8367" s="70">
        <v>1</v>
      </c>
    </row>
    <row r="8368" spans="9:10" x14ac:dyDescent="0.3">
      <c r="I8368" s="72">
        <v>4183</v>
      </c>
      <c r="J8368" s="70">
        <v>1</v>
      </c>
    </row>
    <row r="8369" spans="9:10" x14ac:dyDescent="0.3">
      <c r="I8369" s="72">
        <v>4183.5</v>
      </c>
      <c r="J8369" s="70">
        <v>1</v>
      </c>
    </row>
    <row r="8370" spans="9:10" x14ac:dyDescent="0.3">
      <c r="I8370" s="72">
        <v>4184</v>
      </c>
      <c r="J8370" s="70">
        <v>1</v>
      </c>
    </row>
    <row r="8371" spans="9:10" x14ac:dyDescent="0.3">
      <c r="I8371" s="72">
        <v>4184.5</v>
      </c>
      <c r="J8371" s="70">
        <v>1</v>
      </c>
    </row>
    <row r="8372" spans="9:10" x14ac:dyDescent="0.3">
      <c r="I8372" s="72">
        <v>4185</v>
      </c>
      <c r="J8372" s="70">
        <v>1</v>
      </c>
    </row>
    <row r="8373" spans="9:10" x14ac:dyDescent="0.3">
      <c r="I8373" s="72">
        <v>4185.5</v>
      </c>
      <c r="J8373" s="70">
        <v>1</v>
      </c>
    </row>
    <row r="8374" spans="9:10" x14ac:dyDescent="0.3">
      <c r="I8374" s="72">
        <v>4186</v>
      </c>
      <c r="J8374" s="70">
        <v>1</v>
      </c>
    </row>
    <row r="8375" spans="9:10" x14ac:dyDescent="0.3">
      <c r="I8375" s="72">
        <v>4186.5</v>
      </c>
      <c r="J8375" s="70">
        <v>1</v>
      </c>
    </row>
    <row r="8376" spans="9:10" x14ac:dyDescent="0.3">
      <c r="I8376" s="72">
        <v>4187</v>
      </c>
      <c r="J8376" s="70">
        <v>1</v>
      </c>
    </row>
    <row r="8377" spans="9:10" x14ac:dyDescent="0.3">
      <c r="I8377" s="72">
        <v>4187.5</v>
      </c>
      <c r="J8377" s="70">
        <v>1</v>
      </c>
    </row>
    <row r="8378" spans="9:10" x14ac:dyDescent="0.3">
      <c r="I8378" s="72">
        <v>4188</v>
      </c>
      <c r="J8378" s="70">
        <v>1</v>
      </c>
    </row>
    <row r="8379" spans="9:10" x14ac:dyDescent="0.3">
      <c r="I8379" s="72">
        <v>4188.5</v>
      </c>
      <c r="J8379" s="70">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Instructions for Input</vt:lpstr>
      <vt:lpstr>Input</vt:lpstr>
      <vt:lpstr>K-Distribution</vt:lpstr>
      <vt:lpstr>Output</vt:lpstr>
      <vt:lpstr>Output K-Dist</vt:lpstr>
      <vt:lpstr>P_rate</vt:lpstr>
      <vt:lpstr>W_area</vt:lpstr>
      <vt:lpstr>W_rad</vt:lpstr>
      <vt:lpstr>Warea</vt:lpstr>
      <vt:lpstr>Wradius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bhuffman</dc:creator>
  <cp:lastModifiedBy>Harte, Philip T.</cp:lastModifiedBy>
  <dcterms:created xsi:type="dcterms:W3CDTF">2018-04-27T02:36:45Z</dcterms:created>
  <dcterms:modified xsi:type="dcterms:W3CDTF">2019-03-06T14:04:29Z</dcterms:modified>
</cp:coreProperties>
</file>